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c03548df65d14342/Desktop/"/>
    </mc:Choice>
  </mc:AlternateContent>
  <xr:revisionPtr revIDLastSave="0" documentId="8_{ED7286CC-04B3-4C0C-8E56-DAABBD70628C}" xr6:coauthVersionLast="47" xr6:coauthVersionMax="47" xr10:uidLastSave="{00000000-0000-0000-0000-000000000000}"/>
  <bookViews>
    <workbookView xWindow="-108" yWindow="-108" windowWidth="23256" windowHeight="12456"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3" i="1"/>
  <c r="H12" i="1"/>
  <c r="H11" i="1"/>
  <c r="H9" i="1"/>
  <c r="H8" i="1"/>
  <c r="H7" i="1"/>
  <c r="I5" i="1"/>
  <c r="J1" i="1"/>
  <c r="I6" i="1" l="1"/>
  <c r="J5" i="1"/>
  <c r="I4" i="1"/>
  <c r="K5" i="1" l="1"/>
  <c r="J6" i="1"/>
  <c r="K6" i="1" l="1"/>
  <c r="L5" i="1"/>
  <c r="M5" i="1" l="1"/>
  <c r="L6" i="1"/>
  <c r="N5" i="1" l="1"/>
  <c r="M6" i="1"/>
  <c r="N6" i="1" l="1"/>
  <c r="O5" i="1"/>
  <c r="P5" i="1" l="1"/>
  <c r="O6" i="1"/>
  <c r="Q5" i="1" l="1"/>
  <c r="P6" i="1"/>
  <c r="P4" i="1"/>
  <c r="Q6" i="1" l="1"/>
  <c r="R5" i="1"/>
  <c r="S5" i="1" l="1"/>
  <c r="R6" i="1"/>
  <c r="T5" i="1" l="1"/>
  <c r="S6" i="1"/>
  <c r="T6" i="1" l="1"/>
  <c r="U5" i="1"/>
  <c r="V5" i="1" l="1"/>
  <c r="U6" i="1"/>
  <c r="V6" i="1" l="1"/>
  <c r="W5" i="1"/>
  <c r="X5" i="1" l="1"/>
  <c r="W6" i="1"/>
  <c r="W4" i="1"/>
  <c r="Y5" i="1" l="1"/>
  <c r="X6" i="1"/>
  <c r="Y6" i="1" l="1"/>
  <c r="Z5" i="1"/>
  <c r="AA5" i="1" l="1"/>
  <c r="Z6" i="1"/>
  <c r="AB5" i="1" l="1"/>
  <c r="AA6" i="1"/>
  <c r="AB6" i="1" l="1"/>
  <c r="AC5" i="1"/>
  <c r="AD5" i="1" l="1"/>
  <c r="AC6" i="1"/>
  <c r="AD6" i="1" l="1"/>
  <c r="AE5" i="1"/>
  <c r="AD4" i="1"/>
  <c r="AF5" i="1" l="1"/>
  <c r="AE6" i="1"/>
  <c r="AF6" i="1" l="1"/>
  <c r="AG5" i="1"/>
  <c r="AH5" i="1" l="1"/>
  <c r="AG6" i="1"/>
  <c r="AH6" i="1" l="1"/>
  <c r="AI5" i="1"/>
  <c r="AI6" i="1" l="1"/>
  <c r="AJ5" i="1"/>
  <c r="AJ6" i="1" l="1"/>
  <c r="AK5" i="1"/>
  <c r="AL5" i="1" l="1"/>
  <c r="AK4" i="1"/>
  <c r="AK6" i="1"/>
  <c r="AM5" i="1" l="1"/>
  <c r="AL6" i="1"/>
  <c r="AM6" i="1" l="1"/>
  <c r="AN5" i="1"/>
  <c r="AO5" i="1" l="1"/>
  <c r="AN6" i="1"/>
  <c r="AP5" i="1" l="1"/>
  <c r="AO6" i="1"/>
  <c r="AQ5" i="1" l="1"/>
  <c r="AP6" i="1"/>
  <c r="AQ6" i="1" l="1"/>
  <c r="AR5" i="1"/>
  <c r="AR6" i="1" l="1"/>
  <c r="AR4" i="1"/>
  <c r="AS5" i="1"/>
  <c r="AS6" i="1" l="1"/>
  <c r="AT5" i="1"/>
  <c r="AT6" i="1" l="1"/>
  <c r="AU5" i="1"/>
  <c r="AV5" i="1" l="1"/>
  <c r="AU6" i="1"/>
  <c r="AV6" i="1" l="1"/>
  <c r="AW5" i="1"/>
  <c r="AW6" i="1" l="1"/>
  <c r="AX5" i="1"/>
  <c r="AY5" i="1" l="1"/>
  <c r="AX6" i="1"/>
  <c r="AY4" i="1" l="1"/>
  <c r="AZ5" i="1"/>
  <c r="AY6" i="1"/>
  <c r="BA5" i="1" l="1"/>
  <c r="AZ6" i="1"/>
  <c r="BA6" i="1" l="1"/>
  <c r="BB5" i="1"/>
  <c r="BC5" i="1" l="1"/>
  <c r="BB6" i="1"/>
  <c r="BD5" i="1" l="1"/>
  <c r="BC6" i="1"/>
  <c r="BE5" i="1" l="1"/>
  <c r="BD6" i="1"/>
  <c r="BE6" i="1" l="1"/>
  <c r="BF5" i="1"/>
  <c r="BF4" i="1" l="1"/>
  <c r="BG5" i="1"/>
  <c r="BF6" i="1"/>
  <c r="BH5" i="1" l="1"/>
  <c r="BG6" i="1"/>
  <c r="BI5" i="1" l="1"/>
  <c r="BH6" i="1"/>
  <c r="BI6" i="1" l="1"/>
  <c r="BJ5" i="1"/>
  <c r="BK5" i="1" l="1"/>
  <c r="BJ6" i="1"/>
  <c r="BK6" i="1" l="1"/>
  <c r="BL5" i="1"/>
  <c r="BM5" i="1" l="1"/>
  <c r="BL6" i="1"/>
  <c r="BM6" i="1" l="1"/>
  <c r="BM4" i="1"/>
  <c r="BN5" i="1"/>
  <c r="BO5" i="1" l="1"/>
  <c r="BN6" i="1"/>
  <c r="BO6" i="1" l="1"/>
  <c r="BP5" i="1"/>
  <c r="BQ5" i="1" l="1"/>
  <c r="BP6" i="1"/>
  <c r="BR5" i="1" l="1"/>
  <c r="BQ6" i="1"/>
  <c r="BS5" i="1" l="1"/>
  <c r="BR6" i="1"/>
  <c r="BT5" i="1" l="1"/>
  <c r="BS6" i="1"/>
  <c r="BT6" i="1" l="1"/>
  <c r="BU5" i="1"/>
  <c r="BT4" i="1"/>
  <c r="BV5" i="1" l="1"/>
  <c r="BU6" i="1"/>
  <c r="BV6" i="1" l="1"/>
  <c r="BW5" i="1"/>
  <c r="BX5" i="1" l="1"/>
  <c r="BW6" i="1"/>
  <c r="BX6" i="1" l="1"/>
  <c r="BY5" i="1"/>
  <c r="BZ5" i="1" l="1"/>
  <c r="BY6" i="1"/>
  <c r="CA5" i="1" l="1"/>
  <c r="BZ6" i="1"/>
  <c r="CB5" i="1" l="1"/>
  <c r="CA6" i="1"/>
  <c r="CA4" i="1"/>
  <c r="CB6" i="1" l="1"/>
  <c r="CC5" i="1"/>
  <c r="CD5" i="1" l="1"/>
  <c r="CC6" i="1"/>
  <c r="CE5" i="1" l="1"/>
  <c r="CD6" i="1"/>
  <c r="CF5" i="1" l="1"/>
  <c r="CE6" i="1"/>
  <c r="CF6" i="1" l="1"/>
  <c r="CG5" i="1"/>
  <c r="CH5" i="1" l="1"/>
  <c r="CG6" i="1"/>
  <c r="CH6" i="1" l="1"/>
  <c r="CI5" i="1"/>
  <c r="CH4" i="1"/>
  <c r="CJ5" i="1" l="1"/>
  <c r="CI6" i="1"/>
  <c r="CK5" i="1" l="1"/>
  <c r="CJ6" i="1"/>
  <c r="CL5" i="1" l="1"/>
  <c r="CK6" i="1"/>
  <c r="CL6" i="1" l="1"/>
  <c r="CM5" i="1"/>
  <c r="CN5" i="1" l="1"/>
  <c r="CM6" i="1"/>
  <c r="CN6" i="1" l="1"/>
  <c r="CO5" i="1"/>
  <c r="CP5" i="1" l="1"/>
  <c r="CO6" i="1"/>
  <c r="CO4" i="1"/>
  <c r="CP6" i="1" l="1"/>
  <c r="CQ5" i="1"/>
  <c r="CR5" i="1" l="1"/>
  <c r="CQ6" i="1"/>
  <c r="CR6" i="1" l="1"/>
  <c r="CS5" i="1"/>
  <c r="CT5" i="1" l="1"/>
  <c r="CS6" i="1"/>
  <c r="CU5" i="1" l="1"/>
  <c r="CT6" i="1"/>
  <c r="CU6" i="1" l="1"/>
  <c r="CV5" i="1"/>
  <c r="CV4" i="1" l="1"/>
  <c r="CW5" i="1"/>
  <c r="CV6" i="1"/>
  <c r="CX5" i="1" l="1"/>
  <c r="CW6" i="1"/>
  <c r="CY5" i="1" l="1"/>
  <c r="CX6" i="1"/>
  <c r="CY6" i="1" l="1"/>
  <c r="CZ5" i="1"/>
  <c r="DA5" i="1" l="1"/>
  <c r="CZ6" i="1"/>
  <c r="DB5" i="1" l="1"/>
  <c r="DA6" i="1"/>
  <c r="DC5" i="1" l="1"/>
  <c r="DB6" i="1"/>
  <c r="DC6" i="1" l="1"/>
  <c r="DC4" i="1"/>
  <c r="DD5" i="1"/>
  <c r="DE5" i="1" l="1"/>
  <c r="DD6" i="1"/>
  <c r="DF5" i="1" l="1"/>
  <c r="DE6" i="1"/>
  <c r="DF6" i="1" l="1"/>
  <c r="DG5" i="1"/>
  <c r="DH5" i="1" l="1"/>
  <c r="DG6" i="1"/>
  <c r="DI5" i="1" l="1"/>
  <c r="DH6" i="1"/>
  <c r="DI6" i="1" l="1"/>
  <c r="DJ5" i="1"/>
  <c r="DK5" i="1" l="1"/>
  <c r="DJ4" i="1"/>
  <c r="DJ6" i="1"/>
  <c r="DL5" i="1" l="1"/>
  <c r="DK6" i="1"/>
  <c r="DL6" i="1" l="1"/>
  <c r="DM5" i="1"/>
  <c r="DN5" i="1" l="1"/>
  <c r="DM6" i="1"/>
  <c r="DO5" i="1" l="1"/>
  <c r="DN6" i="1"/>
  <c r="DP5" i="1" l="1"/>
  <c r="DO6" i="1"/>
  <c r="DQ5" i="1" l="1"/>
  <c r="DP6" i="1"/>
  <c r="DQ6" i="1" l="1"/>
  <c r="DQ4" i="1"/>
  <c r="DR5" i="1"/>
  <c r="DS5" i="1" l="1"/>
  <c r="DR6" i="1"/>
  <c r="DS6" i="1" l="1"/>
  <c r="DT5" i="1"/>
  <c r="DU5" i="1" l="1"/>
  <c r="DT6" i="1"/>
  <c r="DV5" i="1" l="1"/>
  <c r="DU6" i="1"/>
  <c r="DW5" i="1" l="1"/>
  <c r="DV6" i="1"/>
  <c r="DX5" i="1" l="1"/>
  <c r="DW6" i="1"/>
  <c r="DY5" i="1" l="1"/>
  <c r="DX6" i="1"/>
  <c r="DX4" i="1"/>
  <c r="DZ5" i="1" l="1"/>
  <c r="DY6" i="1"/>
  <c r="EA5" i="1" l="1"/>
  <c r="DZ6" i="1"/>
  <c r="EB5" i="1" l="1"/>
  <c r="EA6" i="1"/>
  <c r="EC5" i="1" l="1"/>
  <c r="EB6" i="1"/>
  <c r="EC6" i="1" l="1"/>
  <c r="ED5" i="1"/>
  <c r="EE5" i="1" l="1"/>
  <c r="ED6" i="1"/>
  <c r="EF5" i="1" l="1"/>
  <c r="EE6" i="1"/>
  <c r="EE4" i="1"/>
  <c r="EF6" i="1" l="1"/>
  <c r="EG5" i="1"/>
  <c r="EH5" i="1" l="1"/>
  <c r="EG6" i="1"/>
  <c r="EH6" i="1" l="1"/>
  <c r="EI5" i="1"/>
  <c r="EJ5" i="1" l="1"/>
  <c r="EI6" i="1"/>
  <c r="EK5" i="1" l="1"/>
  <c r="EJ6" i="1"/>
  <c r="EK6" i="1" l="1"/>
  <c r="EL5" i="1"/>
  <c r="EM5" i="1" l="1"/>
  <c r="EL6" i="1"/>
  <c r="EL4" i="1"/>
  <c r="EN5" i="1" l="1"/>
  <c r="EM6" i="1"/>
  <c r="EO5" i="1" l="1"/>
  <c r="EN6" i="1"/>
  <c r="EO6" i="1" l="1"/>
  <c r="EP5" i="1"/>
  <c r="EQ5" i="1" l="1"/>
  <c r="EP6" i="1"/>
  <c r="ER5" i="1" l="1"/>
  <c r="ER6" i="1" s="1"/>
  <c r="EQ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sz val="11"/>
            <color theme="1"/>
            <rFont val="Calibri"/>
            <family val="2"/>
            <scheme val="minor"/>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<sst xmlns="http://schemas.openxmlformats.org/spreadsheetml/2006/main" count="92" uniqueCount="67">
  <si>
    <t>AetherGrid AI</t>
  </si>
  <si>
    <t>Presented by:</t>
  </si>
  <si>
    <t>Project Start:</t>
  </si>
  <si>
    <t>Vishal Singla(1024240009)</t>
  </si>
  <si>
    <t>Today:</t>
  </si>
  <si>
    <t>Sparsh Verma(1024240011)</t>
  </si>
  <si>
    <t>Display Week:</t>
  </si>
  <si>
    <t>TASK</t>
  </si>
  <si>
    <t>ASSIGNED
TO</t>
  </si>
  <si>
    <t>PROGRESS</t>
  </si>
  <si>
    <t>START</t>
  </si>
  <si>
    <t>END</t>
  </si>
  <si>
    <t>DAYS</t>
  </si>
  <si>
    <t>Phase 1  Project Introduction,Research and Planning</t>
  </si>
  <si>
    <t>Project Title decision and Introduction PPT</t>
  </si>
  <si>
    <t xml:space="preserve">Vishal and Sparsh </t>
  </si>
  <si>
    <t>Project Proposal Part 1</t>
  </si>
  <si>
    <t xml:space="preserve">Vishal </t>
  </si>
  <si>
    <t>Project proposal Part 2</t>
  </si>
  <si>
    <t>Sparsh</t>
  </si>
  <si>
    <t>Journal</t>
  </si>
  <si>
    <t xml:space="preserve">Use case diagram </t>
  </si>
  <si>
    <t xml:space="preserve">Sparsh </t>
  </si>
  <si>
    <t>DFD diagram</t>
  </si>
  <si>
    <t>Vishal</t>
  </si>
  <si>
    <t xml:space="preserve">ER diagram </t>
  </si>
  <si>
    <t xml:space="preserve">Activity diagram </t>
  </si>
  <si>
    <t>Phase 2 Prototype</t>
  </si>
  <si>
    <t>Prototype documentation Part 1</t>
  </si>
  <si>
    <t>Prototype documentation Part 2</t>
  </si>
  <si>
    <t xml:space="preserve">Prototype code </t>
  </si>
  <si>
    <t>Prototype internal testing &amp; bug fixing</t>
  </si>
  <si>
    <t>Vishal and Sparsh</t>
  </si>
  <si>
    <t>Mid-term prototype demo &amp; review</t>
  </si>
  <si>
    <t>Phase 3  Core Engine Scale-Up (from Prototype to Full Simulation)</t>
  </si>
  <si>
    <t>Extend prototype into full road network graph &amp; cost model</t>
  </si>
  <si>
    <t>Extend prototype vehicle agents into full FSM &amp; battery model</t>
  </si>
  <si>
    <t>Add Poisson request generator &amp; incident model (beyond prototype scope)</t>
  </si>
  <si>
    <t>Replace prototype routing with full Dynamic A*, Dijkstra &amp; HPA* suite</t>
  </si>
  <si>
    <t>Add Hungarian assignment &amp; deadline-aware cost model</t>
  </si>
  <si>
    <t>Phase 4  AI Suite and Mission Control Dashboard</t>
  </si>
  <si>
    <t>Implement Genetic Algorithm VRPTW solver</t>
  </si>
  <si>
    <t>Implement Q-Learning / DQN repositioning policy</t>
  </si>
  <si>
    <t>Build WebSocket backend &amp; state broadcasting</t>
  </si>
  <si>
    <t>Build canvas dashboard, telemetry &amp; scenario lab</t>
  </si>
  <si>
    <t>Integrate strategy hot-swap &amp; live control</t>
  </si>
  <si>
    <t>Phase 5  Testing, Benchmarking and Final Submission</t>
  </si>
  <si>
    <t>Unit &amp; property-based tests; assert invariants I1-I6</t>
  </si>
  <si>
    <t>Seeded benchmark suite across dispatch strategies</t>
  </si>
  <si>
    <t>Evaluate hypotheses H1-H3 &amp; analyze results</t>
  </si>
  <si>
    <t>Final report &amp; documentation</t>
  </si>
  <si>
    <t>Final presentation &amp; demo preparation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</si>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</sst>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mmm\ d\,\ yyyy"/>
    <numFmt numFmtId="167" formatCode="ddd\,\ m/d/yyyy"/>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right/>
      <top style="medium">
        <color theme="0" tint="-0.14990691854609822"/>
      </top>
      <bottom style="medium">
        <color theme="0" tint="-0.14990691854609822"/>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3" fillId="0" borderId="0">
      <alignment vertical="top"/>
      <protection locked="0"/>
    </xf>
    <xf numFmtId="9" fontId="10" fillId="0" borderId="0"/>
    <xf numFmtId="0" fontId="3" fillId="0" borderId="0">
      <alignment vertical="top"/>
      <protection locked="0"/>
    </xf>
    <xf numFmtId="9" fontId="10" fillId="0" borderId="0"/>
  </cellStyleXfs>
  <cellXfs count="109">
    <xf numFmtId="0" fontId="0" fillId="0" borderId="0" xfId="0"/>
    <xf numFmtId="0" fontId="2"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9" fillId="0" borderId="0" xfId="0" applyFont="1" applyAlignment="1">
      <alignment vertical="center"/>
    </xf>
    <xf numFmtId="0" fontId="7" fillId="15" borderId="1" xfId="0" applyFont="1" applyFill="1" applyBorder="1" applyAlignment="1">
      <alignment horizontal="center" vertical="center" wrapText="1"/>
    </xf>
    <xf numFmtId="164" fontId="12" fillId="8" borderId="0" xfId="0" applyNumberFormat="1" applyFont="1" applyFill="1" applyAlignment="1">
      <alignment horizontal="center" vertical="center"/>
    </xf>
    <xf numFmtId="164" fontId="12" fillId="8" borderId="6" xfId="0" applyNumberFormat="1" applyFont="1" applyFill="1" applyBorder="1" applyAlignment="1">
      <alignment horizontal="center" vertical="center"/>
    </xf>
    <xf numFmtId="164" fontId="12" fillId="8" borderId="7" xfId="0" applyNumberFormat="1" applyFont="1" applyFill="1" applyBorder="1" applyAlignment="1">
      <alignment horizontal="center" vertical="center"/>
    </xf>
    <xf numFmtId="0" fontId="13" fillId="14" borderId="8" xfId="0" applyFont="1" applyFill="1" applyBorder="1" applyAlignment="1">
      <alignment horizontal="center" vertical="center" shrinkToFit="1"/>
    </xf>
    <xf numFmtId="0" fontId="17" fillId="0" borderId="0" xfId="0" applyFont="1" applyAlignment="1">
      <alignment horizontal="right" vertical="center"/>
    </xf>
    <xf numFmtId="9" fontId="5" fillId="0" borderId="2" xfId="2" applyFont="1" applyBorder="1" applyAlignment="1">
      <alignment horizontal="center" vertical="center"/>
    </xf>
    <xf numFmtId="165" fontId="0" fillId="0" borderId="2" xfId="0" applyNumberFormat="1" applyBorder="1" applyAlignment="1">
      <alignment horizontal="center" vertical="center"/>
    </xf>
    <xf numFmtId="165" fontId="5" fillId="0" borderId="2" xfId="0" applyNumberFormat="1" applyFont="1" applyBorder="1" applyAlignment="1">
      <alignment horizontal="center" vertical="center"/>
    </xf>
    <xf numFmtId="0" fontId="5" fillId="0" borderId="2" xfId="0" applyFont="1" applyBorder="1" applyAlignment="1">
      <alignment horizontal="center" vertical="center"/>
    </xf>
    <xf numFmtId="9" fontId="5" fillId="9" borderId="2" xfId="2" applyFont="1" applyFill="1" applyBorder="1" applyAlignment="1">
      <alignment horizontal="center" vertical="center"/>
    </xf>
    <xf numFmtId="9" fontId="5" fillId="3" borderId="2" xfId="2" applyFont="1" applyFill="1" applyBorder="1" applyAlignment="1">
      <alignment horizontal="center" vertical="center"/>
    </xf>
    <xf numFmtId="9" fontId="5" fillId="10"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6" borderId="2" xfId="2" applyFont="1" applyFill="1" applyBorder="1" applyAlignment="1">
      <alignment horizontal="center" vertical="center"/>
    </xf>
    <xf numFmtId="9" fontId="5" fillId="13" borderId="2" xfId="2" applyFont="1" applyFill="1" applyBorder="1" applyAlignment="1">
      <alignment horizontal="center" vertical="center"/>
    </xf>
    <xf numFmtId="9" fontId="5" fillId="5" borderId="2" xfId="2" applyFont="1" applyFill="1" applyBorder="1" applyAlignment="1">
      <alignment horizontal="center" vertical="center"/>
    </xf>
    <xf numFmtId="9" fontId="5" fillId="11" borderId="2" xfId="2" applyFont="1" applyFill="1" applyBorder="1" applyAlignment="1">
      <alignment horizontal="center" vertical="center"/>
    </xf>
    <xf numFmtId="9" fontId="5" fillId="7" borderId="2" xfId="2" applyFont="1" applyFill="1" applyBorder="1" applyAlignment="1">
      <alignment horizontal="center" vertical="center"/>
    </xf>
    <xf numFmtId="9" fontId="5" fillId="12" borderId="2" xfId="2"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2"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3" fillId="0" borderId="0" xfId="1" applyAlignment="1" applyProtection="1">
      <alignment horizontal="left" indent="1"/>
    </xf>
    <xf numFmtId="14" fontId="24" fillId="0" borderId="0" xfId="0" applyNumberFormat="1" applyFont="1" applyAlignment="1">
      <alignment horizontal="center"/>
    </xf>
    <xf numFmtId="0" fontId="25" fillId="0" borderId="0" xfId="0" applyFont="1" applyAlignment="1">
      <alignment vertical="top"/>
    </xf>
    <xf numFmtId="0" fontId="11" fillId="0" borderId="0" xfId="0" applyFont="1"/>
    <xf numFmtId="0" fontId="7" fillId="15" borderId="1" xfId="0" applyFont="1" applyFill="1" applyBorder="1" applyAlignment="1">
      <alignment horizontal="left" vertical="center" indent="1"/>
    </xf>
    <xf numFmtId="0" fontId="14" fillId="0" borderId="0" xfId="0" applyFont="1" applyAlignment="1">
      <alignment horizontal="left"/>
    </xf>
    <xf numFmtId="0" fontId="15" fillId="0" borderId="0" xfId="0" applyFont="1"/>
    <xf numFmtId="0" fontId="0" fillId="0" borderId="10" xfId="0" applyBorder="1" applyAlignment="1">
      <alignment horizontal="left" vertical="center" indent="1"/>
    </xf>
    <xf numFmtId="0" fontId="6" fillId="9" borderId="10" xfId="0" applyFont="1" applyFill="1" applyBorder="1" applyAlignment="1">
      <alignment horizontal="left" vertical="center" indent="1"/>
    </xf>
    <xf numFmtId="0" fontId="0" fillId="3" borderId="10" xfId="0" applyFill="1" applyBorder="1" applyAlignment="1">
      <alignment horizontal="left" vertical="center" indent="2"/>
    </xf>
    <xf numFmtId="0" fontId="6" fillId="10" borderId="10" xfId="0" applyFont="1" applyFill="1" applyBorder="1" applyAlignment="1">
      <alignment horizontal="left" vertical="center" indent="1"/>
    </xf>
    <xf numFmtId="0" fontId="0" fillId="4" borderId="10" xfId="0" applyFill="1" applyBorder="1" applyAlignment="1">
      <alignment horizontal="left" vertical="center" indent="2"/>
    </xf>
    <xf numFmtId="0" fontId="6" fillId="6" borderId="10" xfId="0" applyFont="1" applyFill="1" applyBorder="1" applyAlignment="1">
      <alignment horizontal="left" vertical="center" indent="1"/>
    </xf>
    <xf numFmtId="0" fontId="0" fillId="13" borderId="10" xfId="0" applyFill="1" applyBorder="1" applyAlignment="1">
      <alignment horizontal="left" vertical="center" indent="2"/>
    </xf>
    <xf numFmtId="0" fontId="6" fillId="5" borderId="10" xfId="0" applyFont="1" applyFill="1" applyBorder="1" applyAlignment="1">
      <alignment horizontal="left" vertical="center" indent="1"/>
    </xf>
    <xf numFmtId="0" fontId="0" fillId="11" borderId="10" xfId="0" applyFill="1" applyBorder="1" applyAlignment="1">
      <alignment horizontal="left" vertical="center" indent="2"/>
    </xf>
    <xf numFmtId="0" fontId="6" fillId="7" borderId="10" xfId="0" applyFont="1" applyFill="1" applyBorder="1" applyAlignment="1">
      <alignment horizontal="left" vertical="center" indent="1"/>
    </xf>
    <xf numFmtId="0" fontId="0" fillId="12" borderId="10" xfId="0" applyFill="1" applyBorder="1" applyAlignment="1">
      <alignment horizontal="left" vertical="center" indent="2"/>
    </xf>
    <xf numFmtId="0" fontId="8" fillId="2" borderId="10" xfId="0" applyFont="1" applyFill="1" applyBorder="1" applyAlignment="1">
      <alignment horizontal="left" vertical="center" indent="1"/>
    </xf>
    <xf numFmtId="0" fontId="26" fillId="0" borderId="0" xfId="0" applyFont="1"/>
    <xf numFmtId="0" fontId="26" fillId="0" borderId="0" xfId="3" applyFont="1" applyAlignment="1" applyProtection="1"/>
    <xf numFmtId="0" fontId="1" fillId="0" borderId="0" xfId="0" applyFont="1" applyAlignment="1">
      <alignment horizontal="left"/>
    </xf>
    <xf numFmtId="0" fontId="2" fillId="0" borderId="0" xfId="0" applyFont="1" applyAlignment="1">
      <alignment horizontal="center"/>
    </xf>
    <xf numFmtId="0" fontId="0" fillId="0" borderId="3" xfId="0" applyBorder="1" applyAlignment="1">
      <alignment horizontal="center" vertical="center"/>
    </xf>
    <xf numFmtId="0" fontId="16" fillId="0" borderId="0" xfId="3" applyFont="1" applyAlignment="1" applyProtection="1"/>
    <xf numFmtId="0" fontId="0" fillId="0" borderId="10" xfId="0" applyBorder="1" applyAlignment="1">
      <alignment horizontal="center" vertical="center"/>
    </xf>
    <xf numFmtId="165" fontId="0" fillId="0" borderId="10" xfId="0" applyNumberFormat="1" applyBorder="1" applyAlignment="1">
      <alignment horizontal="center" vertical="center"/>
    </xf>
    <xf numFmtId="165" fontId="5" fillId="0" borderId="10" xfId="0" applyNumberFormat="1" applyFont="1" applyBorder="1" applyAlignment="1">
      <alignment horizontal="center" vertical="center"/>
    </xf>
    <xf numFmtId="0" fontId="6" fillId="9" borderId="10" xfId="0" applyFont="1" applyFill="1" applyBorder="1" applyAlignment="1">
      <alignment horizontal="center" vertical="center"/>
    </xf>
    <xf numFmtId="165" fontId="0" fillId="9" borderId="10" xfId="0" applyNumberFormat="1" applyFill="1" applyBorder="1" applyAlignment="1">
      <alignment horizontal="center" vertical="center"/>
    </xf>
    <xf numFmtId="165" fontId="5" fillId="9" borderId="10" xfId="0" applyNumberFormat="1" applyFont="1" applyFill="1" applyBorder="1" applyAlignment="1">
      <alignment horizontal="center" vertical="center"/>
    </xf>
    <xf numFmtId="0" fontId="0" fillId="3" borderId="10" xfId="0" applyFill="1" applyBorder="1" applyAlignment="1">
      <alignment horizontal="center" vertical="center"/>
    </xf>
    <xf numFmtId="165" fontId="0" fillId="3" borderId="10" xfId="0" applyNumberFormat="1" applyFill="1" applyBorder="1" applyAlignment="1">
      <alignment horizontal="center" vertical="center"/>
    </xf>
    <xf numFmtId="165" fontId="5" fillId="3" borderId="10" xfId="0" applyNumberFormat="1" applyFont="1" applyFill="1" applyBorder="1" applyAlignment="1">
      <alignment horizontal="center" vertical="center"/>
    </xf>
    <xf numFmtId="0" fontId="6" fillId="10" borderId="10" xfId="0" applyFont="1" applyFill="1" applyBorder="1" applyAlignment="1">
      <alignment horizontal="center" vertical="center"/>
    </xf>
    <xf numFmtId="165" fontId="0" fillId="10" borderId="10" xfId="0" applyNumberFormat="1" applyFill="1" applyBorder="1" applyAlignment="1">
      <alignment horizontal="center" vertical="center"/>
    </xf>
    <xf numFmtId="165" fontId="5" fillId="10" borderId="10" xfId="0" applyNumberFormat="1" applyFont="1" applyFill="1" applyBorder="1" applyAlignment="1">
      <alignment horizontal="center" vertical="center"/>
    </xf>
    <xf numFmtId="0" fontId="0" fillId="4" borderId="10" xfId="0" applyFill="1" applyBorder="1" applyAlignment="1">
      <alignment horizontal="center" vertical="center"/>
    </xf>
    <xf numFmtId="165" fontId="0" fillId="4" borderId="10" xfId="0" applyNumberFormat="1" applyFill="1" applyBorder="1" applyAlignment="1">
      <alignment horizontal="center" vertical="center"/>
    </xf>
    <xf numFmtId="165" fontId="5" fillId="4" borderId="10" xfId="0" applyNumberFormat="1" applyFont="1" applyFill="1" applyBorder="1" applyAlignment="1">
      <alignment horizontal="center" vertical="center"/>
    </xf>
    <xf numFmtId="0" fontId="6" fillId="6" borderId="10" xfId="0" applyFont="1" applyFill="1" applyBorder="1" applyAlignment="1">
      <alignment horizontal="center" vertical="center"/>
    </xf>
    <xf numFmtId="165" fontId="0" fillId="6" borderId="10" xfId="0" applyNumberFormat="1" applyFill="1" applyBorder="1" applyAlignment="1">
      <alignment horizontal="center" vertical="center"/>
    </xf>
    <xf numFmtId="165" fontId="5" fillId="6" borderId="10" xfId="0" applyNumberFormat="1" applyFont="1" applyFill="1" applyBorder="1" applyAlignment="1">
      <alignment horizontal="center" vertical="center"/>
    </xf>
    <xf numFmtId="0" fontId="0" fillId="13" borderId="10" xfId="0" applyFill="1" applyBorder="1" applyAlignment="1">
      <alignment horizontal="center" vertical="center"/>
    </xf>
    <xf numFmtId="165" fontId="0" fillId="13" borderId="10" xfId="0" applyNumberFormat="1" applyFill="1" applyBorder="1" applyAlignment="1">
      <alignment horizontal="center" vertical="center"/>
    </xf>
    <xf numFmtId="165" fontId="5" fillId="13" borderId="10" xfId="0" applyNumberFormat="1" applyFont="1" applyFill="1" applyBorder="1" applyAlignment="1">
      <alignment horizontal="center" vertical="center"/>
    </xf>
    <xf numFmtId="0" fontId="6" fillId="5" borderId="10" xfId="0" applyFont="1" applyFill="1" applyBorder="1" applyAlignment="1">
      <alignment horizontal="center" vertical="center"/>
    </xf>
    <xf numFmtId="165" fontId="0" fillId="5" borderId="10" xfId="0" applyNumberFormat="1" applyFill="1" applyBorder="1" applyAlignment="1">
      <alignment horizontal="center" vertical="center"/>
    </xf>
    <xf numFmtId="165" fontId="5" fillId="5" borderId="10" xfId="0" applyNumberFormat="1" applyFont="1" applyFill="1" applyBorder="1" applyAlignment="1">
      <alignment horizontal="center" vertical="center"/>
    </xf>
    <xf numFmtId="0" fontId="0" fillId="11" borderId="10" xfId="0" applyFill="1" applyBorder="1" applyAlignment="1">
      <alignment horizontal="center" vertical="center"/>
    </xf>
    <xf numFmtId="165" fontId="0" fillId="11" borderId="10" xfId="0" applyNumberFormat="1" applyFill="1" applyBorder="1" applyAlignment="1">
      <alignment horizontal="center" vertical="center"/>
    </xf>
    <xf numFmtId="165" fontId="5" fillId="11" borderId="10" xfId="0" applyNumberFormat="1" applyFont="1" applyFill="1" applyBorder="1" applyAlignment="1">
      <alignment horizontal="center" vertical="center"/>
    </xf>
    <xf numFmtId="0" fontId="6" fillId="7" borderId="10" xfId="0" applyFont="1" applyFill="1" applyBorder="1" applyAlignment="1">
      <alignment horizontal="center" vertical="center"/>
    </xf>
    <xf numFmtId="165" fontId="0" fillId="7" borderId="10" xfId="0" applyNumberFormat="1" applyFill="1" applyBorder="1" applyAlignment="1">
      <alignment horizontal="center" vertical="center"/>
    </xf>
    <xf numFmtId="165" fontId="5" fillId="7" borderId="10" xfId="0" applyNumberFormat="1" applyFont="1" applyFill="1" applyBorder="1" applyAlignment="1">
      <alignment horizontal="center" vertical="center"/>
    </xf>
    <xf numFmtId="0" fontId="0" fillId="12" borderId="10" xfId="0" applyFill="1" applyBorder="1" applyAlignment="1">
      <alignment horizontal="center" vertical="center"/>
    </xf>
    <xf numFmtId="165" fontId="0" fillId="12" borderId="10" xfId="0" applyNumberFormat="1" applyFill="1" applyBorder="1" applyAlignment="1">
      <alignment horizontal="center" vertical="center"/>
    </xf>
    <xf numFmtId="165" fontId="5" fillId="12" borderId="10" xfId="0" applyNumberFormat="1" applyFont="1" applyFill="1" applyBorder="1" applyAlignment="1">
      <alignment horizontal="center" vertical="center"/>
    </xf>
    <xf numFmtId="0" fontId="8" fillId="2" borderId="10" xfId="0" applyFont="1" applyFill="1" applyBorder="1" applyAlignment="1">
      <alignment horizontal="center" vertical="center"/>
    </xf>
    <xf numFmtId="0" fontId="2" fillId="0" borderId="0" xfId="0" applyFont="1" applyAlignment="1">
      <alignment horizontal="right" vertical="center"/>
    </xf>
    <xf numFmtId="166" fontId="0" fillId="8" borderId="11" xfId="0" applyNumberFormat="1" applyFill="1" applyBorder="1" applyAlignment="1">
      <alignment horizontal="left" vertical="center" wrapText="1" indent="1"/>
    </xf>
    <xf numFmtId="0" fontId="0" fillId="0" borderId="1" xfId="0" applyBorder="1"/>
    <xf numFmtId="0" fontId="0" fillId="0" borderId="5" xfId="0" applyBorder="1"/>
    <xf numFmtId="167" fontId="0" fillId="0" borderId="3" xfId="0" applyNumberFormat="1" applyBorder="1" applyAlignment="1">
      <alignment horizontal="center" vertical="center"/>
    </xf>
    <xf numFmtId="0" fontId="0" fillId="0" borderId="4" xfId="0" applyBorder="1"/>
    <xf numFmtId="0" fontId="27" fillId="0" borderId="0" xfId="1" applyFont="1" applyAlignment="1" applyProtection="1">
      <alignment horizontal="left" vertical="center"/>
    </xf>
    <xf numFmtId="0" fontId="0" fillId="0" borderId="0" xfId="0"/>
  </cellXfs>
  <cellStyles count="5">
    <cellStyle name="Hyperlink" xfId="1" builtinId="8"/>
    <cellStyle name="Hyperlink 2" xfId="3" xr:uid="{00000000-0005-0000-0000-000003000000}"/>
    <cellStyle name="Normal" xfId="0" builtinId="0"/>
    <cellStyle name="Percent" xfId="2" builtinId="5"/>
    <cellStyle name="Percent 2" xfId="4" xr:uid="{00000000-0005-0000-0000-000004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0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R48"/>
  <sheetViews>
    <sheetView showGridLines="0" tabSelected="1" showRuler="0" zoomScale="45" zoomScaleNormal="63" zoomScalePageLayoutView="70" workbookViewId="0">
      <pane ySplit="6" topLeftCell="A7" activePane="bottomLeft" state="frozen"/>
      <selection pane="bottomLeft" activeCell="U23" sqref="U23"/>
    </sheetView>
  </sheetViews>
  <sheetFormatPr defaultRowHeight="14.4" x14ac:dyDescent="0.3"/>
  <cols>
    <col min="1" max="1" width="2.6640625" customWidth="1"/>
    <col min="2" max="2" width="46.33203125" customWidth="1"/>
    <col min="3" max="3" width="27" customWidth="1"/>
    <col min="4" max="4" width="10.6640625" customWidth="1"/>
    <col min="5" max="5" width="10.44140625" style="3" customWidth="1"/>
    <col min="6" max="6" width="10.44140625" customWidth="1"/>
    <col min="7" max="7" width="2.6640625" customWidth="1"/>
    <col min="8" max="8" width="6.109375" hidden="1" customWidth="1"/>
    <col min="9" max="148" width="2.5546875" customWidth="1"/>
  </cols>
  <sheetData>
    <row r="1" spans="1:148" ht="28.8" customHeight="1" x14ac:dyDescent="0.55000000000000004">
      <c r="B1" s="47" t="s">
        <v>0</v>
      </c>
      <c r="C1" s="63"/>
      <c r="D1" s="1"/>
      <c r="E1" s="64"/>
      <c r="F1" s="101"/>
      <c r="H1" s="1"/>
      <c r="I1" s="5"/>
      <c r="J1" s="107" t="str">
        <f>HYPERLINK("https://vertex42.link/HowToMakeAGanttChart","► Watch How to Make a Gantt Chart in Excel")</f>
        <v>► Watch How to Make a Gantt Chart in Excel</v>
      </c>
      <c r="K1" s="108"/>
      <c r="L1" s="108"/>
      <c r="M1" s="108"/>
      <c r="N1" s="108"/>
      <c r="O1" s="108"/>
      <c r="P1" s="108"/>
      <c r="Q1" s="108"/>
      <c r="R1" s="108"/>
      <c r="S1" s="108"/>
      <c r="T1" s="108"/>
      <c r="U1" s="108"/>
      <c r="V1" s="108"/>
      <c r="W1" s="108"/>
      <c r="X1" s="108"/>
      <c r="Y1" s="108"/>
      <c r="Z1" s="108"/>
      <c r="AA1" s="108"/>
    </row>
    <row r="2" spans="1:148" ht="19.5" customHeight="1" x14ac:dyDescent="0.35">
      <c r="B2" s="45" t="s">
        <v>1</v>
      </c>
      <c r="D2" s="4" t="s">
        <v>2</v>
      </c>
      <c r="E2" s="105">
        <v>46237</v>
      </c>
      <c r="F2" s="106"/>
    </row>
    <row r="3" spans="1:148" ht="19.5" customHeight="1" x14ac:dyDescent="0.35">
      <c r="B3" s="45" t="s">
        <v>3</v>
      </c>
      <c r="D3" s="4" t="s">
        <v>4</v>
      </c>
      <c r="E3" s="105">
        <v>46277</v>
      </c>
      <c r="F3" s="106"/>
    </row>
    <row r="4" spans="1:148" ht="19.5" customHeight="1" x14ac:dyDescent="0.35">
      <c r="B4" s="45" t="s">
        <v>5</v>
      </c>
      <c r="D4" s="4" t="s">
        <v>6</v>
      </c>
      <c r="E4" s="65">
        <v>1</v>
      </c>
      <c r="I4" s="102">
        <f>I5</f>
        <v>46237</v>
      </c>
      <c r="J4" s="103"/>
      <c r="K4" s="103"/>
      <c r="L4" s="103"/>
      <c r="M4" s="103"/>
      <c r="N4" s="103"/>
      <c r="O4" s="104"/>
      <c r="P4" s="102">
        <f>P5</f>
        <v>46244</v>
      </c>
      <c r="Q4" s="103"/>
      <c r="R4" s="103"/>
      <c r="S4" s="103"/>
      <c r="T4" s="103"/>
      <c r="U4" s="103"/>
      <c r="V4" s="104"/>
      <c r="W4" s="102">
        <f>W5</f>
        <v>46251</v>
      </c>
      <c r="X4" s="103"/>
      <c r="Y4" s="103"/>
      <c r="Z4" s="103"/>
      <c r="AA4" s="103"/>
      <c r="AB4" s="103"/>
      <c r="AC4" s="104"/>
      <c r="AD4" s="102">
        <f>AD5</f>
        <v>46258</v>
      </c>
      <c r="AE4" s="103"/>
      <c r="AF4" s="103"/>
      <c r="AG4" s="103"/>
      <c r="AH4" s="103"/>
      <c r="AI4" s="103"/>
      <c r="AJ4" s="104"/>
      <c r="AK4" s="102">
        <f>AK5</f>
        <v>46265</v>
      </c>
      <c r="AL4" s="103"/>
      <c r="AM4" s="103"/>
      <c r="AN4" s="103"/>
      <c r="AO4" s="103"/>
      <c r="AP4" s="103"/>
      <c r="AQ4" s="104"/>
      <c r="AR4" s="102">
        <f>AR5</f>
        <v>46272</v>
      </c>
      <c r="AS4" s="103"/>
      <c r="AT4" s="103"/>
      <c r="AU4" s="103"/>
      <c r="AV4" s="103"/>
      <c r="AW4" s="103"/>
      <c r="AX4" s="104"/>
      <c r="AY4" s="102">
        <f>AY5</f>
        <v>46279</v>
      </c>
      <c r="AZ4" s="103"/>
      <c r="BA4" s="103"/>
      <c r="BB4" s="103"/>
      <c r="BC4" s="103"/>
      <c r="BD4" s="103"/>
      <c r="BE4" s="104"/>
      <c r="BF4" s="102">
        <f>BF5</f>
        <v>46286</v>
      </c>
      <c r="BG4" s="103"/>
      <c r="BH4" s="103"/>
      <c r="BI4" s="103"/>
      <c r="BJ4" s="103"/>
      <c r="BK4" s="103"/>
      <c r="BL4" s="104"/>
      <c r="BM4" s="102">
        <f>BM5</f>
        <v>46293</v>
      </c>
      <c r="BN4" s="103"/>
      <c r="BO4" s="103"/>
      <c r="BP4" s="103"/>
      <c r="BQ4" s="103"/>
      <c r="BR4" s="103"/>
      <c r="BS4" s="104"/>
      <c r="BT4" s="102">
        <f>BT5</f>
        <v>46300</v>
      </c>
      <c r="BU4" s="103"/>
      <c r="BV4" s="103"/>
      <c r="BW4" s="103"/>
      <c r="BX4" s="103"/>
      <c r="BY4" s="103"/>
      <c r="BZ4" s="104"/>
      <c r="CA4" s="102">
        <f>CA5</f>
        <v>46307</v>
      </c>
      <c r="CB4" s="103"/>
      <c r="CC4" s="103"/>
      <c r="CD4" s="103"/>
      <c r="CE4" s="103"/>
      <c r="CF4" s="103"/>
      <c r="CG4" s="104"/>
      <c r="CH4" s="102">
        <f>CH5</f>
        <v>46314</v>
      </c>
      <c r="CI4" s="103"/>
      <c r="CJ4" s="103"/>
      <c r="CK4" s="103"/>
      <c r="CL4" s="103"/>
      <c r="CM4" s="103"/>
      <c r="CN4" s="104"/>
      <c r="CO4" s="102">
        <f>CO5</f>
        <v>46321</v>
      </c>
      <c r="CP4" s="103"/>
      <c r="CQ4" s="103"/>
      <c r="CR4" s="103"/>
      <c r="CS4" s="103"/>
      <c r="CT4" s="103"/>
      <c r="CU4" s="104"/>
      <c r="CV4" s="102">
        <f>CV5</f>
        <v>46328</v>
      </c>
      <c r="CW4" s="103"/>
      <c r="CX4" s="103"/>
      <c r="CY4" s="103"/>
      <c r="CZ4" s="103"/>
      <c r="DA4" s="103"/>
      <c r="DB4" s="104"/>
      <c r="DC4" s="102">
        <f>DC5</f>
        <v>46335</v>
      </c>
      <c r="DD4" s="103"/>
      <c r="DE4" s="103"/>
      <c r="DF4" s="103"/>
      <c r="DG4" s="103"/>
      <c r="DH4" s="103"/>
      <c r="DI4" s="104"/>
      <c r="DJ4" s="102">
        <f>DJ5</f>
        <v>46342</v>
      </c>
      <c r="DK4" s="103"/>
      <c r="DL4" s="103"/>
      <c r="DM4" s="103"/>
      <c r="DN4" s="103"/>
      <c r="DO4" s="103"/>
      <c r="DP4" s="104"/>
      <c r="DQ4" s="102">
        <f>DQ5</f>
        <v>46349</v>
      </c>
      <c r="DR4" s="103"/>
      <c r="DS4" s="103"/>
      <c r="DT4" s="103"/>
      <c r="DU4" s="103"/>
      <c r="DV4" s="103"/>
      <c r="DW4" s="104"/>
      <c r="DX4" s="102">
        <f>DX5</f>
        <v>46356</v>
      </c>
      <c r="DY4" s="103"/>
      <c r="DZ4" s="103"/>
      <c r="EA4" s="103"/>
      <c r="EB4" s="103"/>
      <c r="EC4" s="103"/>
      <c r="ED4" s="104"/>
      <c r="EE4" s="102">
        <f>EE5</f>
        <v>46363</v>
      </c>
      <c r="EF4" s="103"/>
      <c r="EG4" s="103"/>
      <c r="EH4" s="103"/>
      <c r="EI4" s="103"/>
      <c r="EJ4" s="103"/>
      <c r="EK4" s="104"/>
      <c r="EL4" s="102">
        <f>EL5</f>
        <v>46370</v>
      </c>
      <c r="EM4" s="103"/>
      <c r="EN4" s="103"/>
      <c r="EO4" s="103"/>
      <c r="EP4" s="103"/>
      <c r="EQ4" s="103"/>
      <c r="ER4" s="104"/>
    </row>
    <row r="5" spans="1:148" x14ac:dyDescent="0.3">
      <c r="A5" s="4"/>
      <c r="G5" s="4"/>
      <c r="I5" s="8">
        <f>E2-WEEKDAY(E2,1)+2+7*(E4-1)</f>
        <v>46237</v>
      </c>
      <c r="J5" s="7">
        <f t="shared" ref="J5:AO5" si="0">I5+1</f>
        <v>46238</v>
      </c>
      <c r="K5" s="7">
        <f t="shared" si="0"/>
        <v>46239</v>
      </c>
      <c r="L5" s="7">
        <f t="shared" si="0"/>
        <v>46240</v>
      </c>
      <c r="M5" s="7">
        <f t="shared" si="0"/>
        <v>46241</v>
      </c>
      <c r="N5" s="7">
        <f t="shared" si="0"/>
        <v>46242</v>
      </c>
      <c r="O5" s="9">
        <f t="shared" si="0"/>
        <v>46243</v>
      </c>
      <c r="P5" s="8">
        <f t="shared" si="0"/>
        <v>46244</v>
      </c>
      <c r="Q5" s="7">
        <f t="shared" si="0"/>
        <v>46245</v>
      </c>
      <c r="R5" s="7">
        <f t="shared" si="0"/>
        <v>46246</v>
      </c>
      <c r="S5" s="7">
        <f t="shared" si="0"/>
        <v>46247</v>
      </c>
      <c r="T5" s="7">
        <f t="shared" si="0"/>
        <v>46248</v>
      </c>
      <c r="U5" s="7">
        <f t="shared" si="0"/>
        <v>46249</v>
      </c>
      <c r="V5" s="9">
        <f t="shared" si="0"/>
        <v>46250</v>
      </c>
      <c r="W5" s="8">
        <f t="shared" si="0"/>
        <v>46251</v>
      </c>
      <c r="X5" s="7">
        <f t="shared" si="0"/>
        <v>46252</v>
      </c>
      <c r="Y5" s="7">
        <f t="shared" si="0"/>
        <v>46253</v>
      </c>
      <c r="Z5" s="7">
        <f t="shared" si="0"/>
        <v>46254</v>
      </c>
      <c r="AA5" s="7">
        <f t="shared" si="0"/>
        <v>46255</v>
      </c>
      <c r="AB5" s="7">
        <f t="shared" si="0"/>
        <v>46256</v>
      </c>
      <c r="AC5" s="9">
        <f t="shared" si="0"/>
        <v>46257</v>
      </c>
      <c r="AD5" s="8">
        <f t="shared" si="0"/>
        <v>46258</v>
      </c>
      <c r="AE5" s="7">
        <f t="shared" si="0"/>
        <v>46259</v>
      </c>
      <c r="AF5" s="7">
        <f t="shared" si="0"/>
        <v>46260</v>
      </c>
      <c r="AG5" s="7">
        <f t="shared" si="0"/>
        <v>46261</v>
      </c>
      <c r="AH5" s="7">
        <f t="shared" si="0"/>
        <v>46262</v>
      </c>
      <c r="AI5" s="7">
        <f t="shared" si="0"/>
        <v>46263</v>
      </c>
      <c r="AJ5" s="9">
        <f t="shared" si="0"/>
        <v>46264</v>
      </c>
      <c r="AK5" s="8">
        <f t="shared" si="0"/>
        <v>46265</v>
      </c>
      <c r="AL5" s="7">
        <f t="shared" si="0"/>
        <v>46266</v>
      </c>
      <c r="AM5" s="7">
        <f t="shared" si="0"/>
        <v>46267</v>
      </c>
      <c r="AN5" s="7">
        <f t="shared" si="0"/>
        <v>46268</v>
      </c>
      <c r="AO5" s="7">
        <f t="shared" si="0"/>
        <v>46269</v>
      </c>
      <c r="AP5" s="7">
        <f t="shared" ref="AP5:BU5" si="1">AO5+1</f>
        <v>46270</v>
      </c>
      <c r="AQ5" s="9">
        <f t="shared" si="1"/>
        <v>46271</v>
      </c>
      <c r="AR5" s="8">
        <f t="shared" si="1"/>
        <v>46272</v>
      </c>
      <c r="AS5" s="7">
        <f t="shared" si="1"/>
        <v>46273</v>
      </c>
      <c r="AT5" s="7">
        <f t="shared" si="1"/>
        <v>46274</v>
      </c>
      <c r="AU5" s="7">
        <f t="shared" si="1"/>
        <v>46275</v>
      </c>
      <c r="AV5" s="7">
        <f t="shared" si="1"/>
        <v>46276</v>
      </c>
      <c r="AW5" s="7">
        <f t="shared" si="1"/>
        <v>46277</v>
      </c>
      <c r="AX5" s="9">
        <f t="shared" si="1"/>
        <v>46278</v>
      </c>
      <c r="AY5" s="8">
        <f t="shared" si="1"/>
        <v>46279</v>
      </c>
      <c r="AZ5" s="7">
        <f t="shared" si="1"/>
        <v>46280</v>
      </c>
      <c r="BA5" s="7">
        <f t="shared" si="1"/>
        <v>46281</v>
      </c>
      <c r="BB5" s="7">
        <f t="shared" si="1"/>
        <v>46282</v>
      </c>
      <c r="BC5" s="7">
        <f t="shared" si="1"/>
        <v>46283</v>
      </c>
      <c r="BD5" s="7">
        <f t="shared" si="1"/>
        <v>46284</v>
      </c>
      <c r="BE5" s="9">
        <f t="shared" si="1"/>
        <v>46285</v>
      </c>
      <c r="BF5" s="8">
        <f t="shared" si="1"/>
        <v>46286</v>
      </c>
      <c r="BG5" s="7">
        <f t="shared" si="1"/>
        <v>46287</v>
      </c>
      <c r="BH5" s="7">
        <f t="shared" si="1"/>
        <v>46288</v>
      </c>
      <c r="BI5" s="7">
        <f t="shared" si="1"/>
        <v>46289</v>
      </c>
      <c r="BJ5" s="7">
        <f t="shared" si="1"/>
        <v>46290</v>
      </c>
      <c r="BK5" s="7">
        <f t="shared" si="1"/>
        <v>46291</v>
      </c>
      <c r="BL5" s="9">
        <f t="shared" si="1"/>
        <v>46292</v>
      </c>
      <c r="BM5" s="9">
        <f t="shared" si="1"/>
        <v>46293</v>
      </c>
      <c r="BN5" s="9">
        <f t="shared" si="1"/>
        <v>46294</v>
      </c>
      <c r="BO5" s="9">
        <f t="shared" si="1"/>
        <v>46295</v>
      </c>
      <c r="BP5" s="9">
        <f t="shared" si="1"/>
        <v>46296</v>
      </c>
      <c r="BQ5" s="9">
        <f t="shared" si="1"/>
        <v>46297</v>
      </c>
      <c r="BR5" s="9">
        <f t="shared" si="1"/>
        <v>46298</v>
      </c>
      <c r="BS5" s="9">
        <f t="shared" si="1"/>
        <v>46299</v>
      </c>
      <c r="BT5" s="9">
        <f t="shared" si="1"/>
        <v>46300</v>
      </c>
      <c r="BU5" s="9">
        <f t="shared" si="1"/>
        <v>46301</v>
      </c>
      <c r="BV5" s="9">
        <f t="shared" ref="BV5:DA5" si="2">BU5+1</f>
        <v>46302</v>
      </c>
      <c r="BW5" s="9">
        <f t="shared" si="2"/>
        <v>46303</v>
      </c>
      <c r="BX5" s="9">
        <f t="shared" si="2"/>
        <v>46304</v>
      </c>
      <c r="BY5" s="9">
        <f t="shared" si="2"/>
        <v>46305</v>
      </c>
      <c r="BZ5" s="9">
        <f t="shared" si="2"/>
        <v>46306</v>
      </c>
      <c r="CA5" s="9">
        <f t="shared" si="2"/>
        <v>46307</v>
      </c>
      <c r="CB5" s="9">
        <f t="shared" si="2"/>
        <v>46308</v>
      </c>
      <c r="CC5" s="9">
        <f t="shared" si="2"/>
        <v>46309</v>
      </c>
      <c r="CD5" s="9">
        <f t="shared" si="2"/>
        <v>46310</v>
      </c>
      <c r="CE5" s="9">
        <f t="shared" si="2"/>
        <v>46311</v>
      </c>
      <c r="CF5" s="9">
        <f t="shared" si="2"/>
        <v>46312</v>
      </c>
      <c r="CG5" s="9">
        <f t="shared" si="2"/>
        <v>46313</v>
      </c>
      <c r="CH5" s="9">
        <f t="shared" si="2"/>
        <v>46314</v>
      </c>
      <c r="CI5" s="9">
        <f t="shared" si="2"/>
        <v>46315</v>
      </c>
      <c r="CJ5" s="9">
        <f t="shared" si="2"/>
        <v>46316</v>
      </c>
      <c r="CK5" s="9">
        <f t="shared" si="2"/>
        <v>46317</v>
      </c>
      <c r="CL5" s="9">
        <f t="shared" si="2"/>
        <v>46318</v>
      </c>
      <c r="CM5" s="9">
        <f t="shared" si="2"/>
        <v>46319</v>
      </c>
      <c r="CN5" s="9">
        <f t="shared" si="2"/>
        <v>46320</v>
      </c>
      <c r="CO5" s="9">
        <f t="shared" si="2"/>
        <v>46321</v>
      </c>
      <c r="CP5" s="9">
        <f t="shared" si="2"/>
        <v>46322</v>
      </c>
      <c r="CQ5" s="9">
        <f t="shared" si="2"/>
        <v>46323</v>
      </c>
      <c r="CR5" s="9">
        <f t="shared" si="2"/>
        <v>46324</v>
      </c>
      <c r="CS5" s="9">
        <f t="shared" si="2"/>
        <v>46325</v>
      </c>
      <c r="CT5" s="9">
        <f t="shared" si="2"/>
        <v>46326</v>
      </c>
      <c r="CU5" s="9">
        <f t="shared" si="2"/>
        <v>46327</v>
      </c>
      <c r="CV5" s="9">
        <f t="shared" si="2"/>
        <v>46328</v>
      </c>
      <c r="CW5" s="9">
        <f t="shared" si="2"/>
        <v>46329</v>
      </c>
      <c r="CX5" s="9">
        <f t="shared" si="2"/>
        <v>46330</v>
      </c>
      <c r="CY5" s="9">
        <f t="shared" si="2"/>
        <v>46331</v>
      </c>
      <c r="CZ5" s="9">
        <f t="shared" si="2"/>
        <v>46332</v>
      </c>
      <c r="DA5" s="9">
        <f t="shared" si="2"/>
        <v>46333</v>
      </c>
      <c r="DB5" s="9">
        <f t="shared" ref="DB5:EG5" si="3">DA5+1</f>
        <v>46334</v>
      </c>
      <c r="DC5" s="9">
        <f t="shared" si="3"/>
        <v>46335</v>
      </c>
      <c r="DD5" s="9">
        <f t="shared" si="3"/>
        <v>46336</v>
      </c>
      <c r="DE5" s="9">
        <f t="shared" si="3"/>
        <v>46337</v>
      </c>
      <c r="DF5" s="9">
        <f t="shared" si="3"/>
        <v>46338</v>
      </c>
      <c r="DG5" s="9">
        <f t="shared" si="3"/>
        <v>46339</v>
      </c>
      <c r="DH5" s="9">
        <f t="shared" si="3"/>
        <v>46340</v>
      </c>
      <c r="DI5" s="9">
        <f t="shared" si="3"/>
        <v>46341</v>
      </c>
      <c r="DJ5" s="9">
        <f t="shared" si="3"/>
        <v>46342</v>
      </c>
      <c r="DK5" s="9">
        <f t="shared" si="3"/>
        <v>46343</v>
      </c>
      <c r="DL5" s="9">
        <f t="shared" si="3"/>
        <v>46344</v>
      </c>
      <c r="DM5" s="9">
        <f t="shared" si="3"/>
        <v>46345</v>
      </c>
      <c r="DN5" s="9">
        <f t="shared" si="3"/>
        <v>46346</v>
      </c>
      <c r="DO5" s="9">
        <f t="shared" si="3"/>
        <v>46347</v>
      </c>
      <c r="DP5" s="9">
        <f t="shared" si="3"/>
        <v>46348</v>
      </c>
      <c r="DQ5" s="9">
        <f t="shared" si="3"/>
        <v>46349</v>
      </c>
      <c r="DR5" s="9">
        <f t="shared" si="3"/>
        <v>46350</v>
      </c>
      <c r="DS5" s="9">
        <f t="shared" si="3"/>
        <v>46351</v>
      </c>
      <c r="DT5" s="9">
        <f t="shared" si="3"/>
        <v>46352</v>
      </c>
      <c r="DU5" s="9">
        <f t="shared" si="3"/>
        <v>46353</v>
      </c>
      <c r="DV5" s="9">
        <f t="shared" si="3"/>
        <v>46354</v>
      </c>
      <c r="DW5" s="9">
        <f t="shared" si="3"/>
        <v>46355</v>
      </c>
      <c r="DX5" s="9">
        <f t="shared" si="3"/>
        <v>46356</v>
      </c>
      <c r="DY5" s="9">
        <f t="shared" si="3"/>
        <v>46357</v>
      </c>
      <c r="DZ5" s="9">
        <f t="shared" si="3"/>
        <v>46358</v>
      </c>
      <c r="EA5" s="9">
        <f t="shared" si="3"/>
        <v>46359</v>
      </c>
      <c r="EB5" s="9">
        <f t="shared" si="3"/>
        <v>46360</v>
      </c>
      <c r="EC5" s="9">
        <f t="shared" si="3"/>
        <v>46361</v>
      </c>
      <c r="ED5" s="9">
        <f t="shared" si="3"/>
        <v>46362</v>
      </c>
      <c r="EE5" s="9">
        <f t="shared" si="3"/>
        <v>46363</v>
      </c>
      <c r="EF5" s="9">
        <f t="shared" si="3"/>
        <v>46364</v>
      </c>
      <c r="EG5" s="9">
        <f t="shared" si="3"/>
        <v>46365</v>
      </c>
      <c r="EH5" s="9">
        <f t="shared" ref="EH5:ER5" si="4">EG5+1</f>
        <v>46366</v>
      </c>
      <c r="EI5" s="9">
        <f t="shared" si="4"/>
        <v>46367</v>
      </c>
      <c r="EJ5" s="9">
        <f t="shared" si="4"/>
        <v>46368</v>
      </c>
      <c r="EK5" s="9">
        <f t="shared" si="4"/>
        <v>46369</v>
      </c>
      <c r="EL5" s="9">
        <f t="shared" si="4"/>
        <v>46370</v>
      </c>
      <c r="EM5" s="9">
        <f t="shared" si="4"/>
        <v>46371</v>
      </c>
      <c r="EN5" s="9">
        <f t="shared" si="4"/>
        <v>46372</v>
      </c>
      <c r="EO5" s="9">
        <f t="shared" si="4"/>
        <v>46373</v>
      </c>
      <c r="EP5" s="9">
        <f t="shared" si="4"/>
        <v>46374</v>
      </c>
      <c r="EQ5" s="9">
        <f t="shared" si="4"/>
        <v>46375</v>
      </c>
      <c r="ER5" s="9">
        <f t="shared" si="4"/>
        <v>46376</v>
      </c>
    </row>
    <row r="6" spans="1:148" ht="29.25" customHeight="1" thickBot="1" x14ac:dyDescent="0.35">
      <c r="A6" s="11"/>
      <c r="B6" s="46" t="s">
        <v>7</v>
      </c>
      <c r="C6" s="6" t="s">
        <v>8</v>
      </c>
      <c r="D6" s="6" t="s">
        <v>9</v>
      </c>
      <c r="E6" s="6" t="s">
        <v>10</v>
      </c>
      <c r="F6" s="6" t="s">
        <v>11</v>
      </c>
      <c r="G6" s="6"/>
      <c r="H6" s="6" t="s">
        <v>12</v>
      </c>
      <c r="I6" s="10" t="str">
        <f t="shared" ref="I6:AN6" si="5">LEFT(TEXT(I5,"ddd"),1)</f>
        <v>M</v>
      </c>
      <c r="J6" s="10" t="str">
        <f t="shared" si="5"/>
        <v>T</v>
      </c>
      <c r="K6" s="10" t="str">
        <f t="shared" si="5"/>
        <v>W</v>
      </c>
      <c r="L6" s="10" t="str">
        <f t="shared" si="5"/>
        <v>T</v>
      </c>
      <c r="M6" s="10" t="str">
        <f t="shared" si="5"/>
        <v>F</v>
      </c>
      <c r="N6" s="10" t="str">
        <f t="shared" si="5"/>
        <v>S</v>
      </c>
      <c r="O6" s="10" t="str">
        <f t="shared" si="5"/>
        <v>S</v>
      </c>
      <c r="P6" s="10" t="str">
        <f t="shared" si="5"/>
        <v>M</v>
      </c>
      <c r="Q6" s="10" t="str">
        <f t="shared" si="5"/>
        <v>T</v>
      </c>
      <c r="R6" s="10" t="str">
        <f t="shared" si="5"/>
        <v>W</v>
      </c>
      <c r="S6" s="10" t="str">
        <f t="shared" si="5"/>
        <v>T</v>
      </c>
      <c r="T6" s="10" t="str">
        <f t="shared" si="5"/>
        <v>F</v>
      </c>
      <c r="U6" s="10" t="str">
        <f t="shared" si="5"/>
        <v>S</v>
      </c>
      <c r="V6" s="10" t="str">
        <f t="shared" si="5"/>
        <v>S</v>
      </c>
      <c r="W6" s="10" t="str">
        <f t="shared" si="5"/>
        <v>M</v>
      </c>
      <c r="X6" s="10" t="str">
        <f t="shared" si="5"/>
        <v>T</v>
      </c>
      <c r="Y6" s="10" t="str">
        <f t="shared" si="5"/>
        <v>W</v>
      </c>
      <c r="Z6" s="10" t="str">
        <f t="shared" si="5"/>
        <v>T</v>
      </c>
      <c r="AA6" s="10" t="str">
        <f t="shared" si="5"/>
        <v>F</v>
      </c>
      <c r="AB6" s="10" t="str">
        <f t="shared" si="5"/>
        <v>S</v>
      </c>
      <c r="AC6" s="10" t="str">
        <f t="shared" si="5"/>
        <v>S</v>
      </c>
      <c r="AD6" s="10" t="str">
        <f t="shared" si="5"/>
        <v>M</v>
      </c>
      <c r="AE6" s="10" t="str">
        <f t="shared" si="5"/>
        <v>T</v>
      </c>
      <c r="AF6" s="10" t="str">
        <f t="shared" si="5"/>
        <v>W</v>
      </c>
      <c r="AG6" s="10" t="str">
        <f t="shared" si="5"/>
        <v>T</v>
      </c>
      <c r="AH6" s="10" t="str">
        <f t="shared" si="5"/>
        <v>F</v>
      </c>
      <c r="AI6" s="10" t="str">
        <f t="shared" si="5"/>
        <v>S</v>
      </c>
      <c r="AJ6" s="10" t="str">
        <f t="shared" si="5"/>
        <v>S</v>
      </c>
      <c r="AK6" s="10" t="str">
        <f t="shared" si="5"/>
        <v>M</v>
      </c>
      <c r="AL6" s="10" t="str">
        <f t="shared" si="5"/>
        <v>T</v>
      </c>
      <c r="AM6" s="10" t="str">
        <f t="shared" si="5"/>
        <v>W</v>
      </c>
      <c r="AN6" s="10" t="str">
        <f t="shared" si="5"/>
        <v>T</v>
      </c>
      <c r="AO6" s="10" t="str">
        <f t="shared" ref="AO6:BT6" si="6">LEFT(TEXT(AO5,"ddd"),1)</f>
        <v>F</v>
      </c>
      <c r="AP6" s="10" t="str">
        <f t="shared" si="6"/>
        <v>S</v>
      </c>
      <c r="AQ6" s="10" t="str">
        <f t="shared" si="6"/>
        <v>S</v>
      </c>
      <c r="AR6" s="10" t="str">
        <f t="shared" si="6"/>
        <v>M</v>
      </c>
      <c r="AS6" s="10" t="str">
        <f t="shared" si="6"/>
        <v>T</v>
      </c>
      <c r="AT6" s="10" t="str">
        <f t="shared" si="6"/>
        <v>W</v>
      </c>
      <c r="AU6" s="10" t="str">
        <f t="shared" si="6"/>
        <v>T</v>
      </c>
      <c r="AV6" s="10" t="str">
        <f t="shared" si="6"/>
        <v>F</v>
      </c>
      <c r="AW6" s="10" t="str">
        <f t="shared" si="6"/>
        <v>S</v>
      </c>
      <c r="AX6" s="10" t="str">
        <f t="shared" si="6"/>
        <v>S</v>
      </c>
      <c r="AY6" s="10" t="str">
        <f t="shared" si="6"/>
        <v>M</v>
      </c>
      <c r="AZ6" s="10" t="str">
        <f t="shared" si="6"/>
        <v>T</v>
      </c>
      <c r="BA6" s="10" t="str">
        <f t="shared" si="6"/>
        <v>W</v>
      </c>
      <c r="BB6" s="10" t="str">
        <f t="shared" si="6"/>
        <v>T</v>
      </c>
      <c r="BC6" s="10" t="str">
        <f t="shared" si="6"/>
        <v>F</v>
      </c>
      <c r="BD6" s="10" t="str">
        <f t="shared" si="6"/>
        <v>S</v>
      </c>
      <c r="BE6" s="10" t="str">
        <f t="shared" si="6"/>
        <v>S</v>
      </c>
      <c r="BF6" s="10" t="str">
        <f t="shared" si="6"/>
        <v>M</v>
      </c>
      <c r="BG6" s="10" t="str">
        <f t="shared" si="6"/>
        <v>T</v>
      </c>
      <c r="BH6" s="10" t="str">
        <f t="shared" si="6"/>
        <v>W</v>
      </c>
      <c r="BI6" s="10" t="str">
        <f t="shared" si="6"/>
        <v>T</v>
      </c>
      <c r="BJ6" s="10" t="str">
        <f t="shared" si="6"/>
        <v>F</v>
      </c>
      <c r="BK6" s="10" t="str">
        <f t="shared" si="6"/>
        <v>S</v>
      </c>
      <c r="BL6" s="10" t="str">
        <f t="shared" si="6"/>
        <v>S</v>
      </c>
      <c r="BM6" s="10" t="str">
        <f t="shared" si="6"/>
        <v>M</v>
      </c>
      <c r="BN6" s="10" t="str">
        <f t="shared" si="6"/>
        <v>T</v>
      </c>
      <c r="BO6" s="10" t="str">
        <f t="shared" si="6"/>
        <v>W</v>
      </c>
      <c r="BP6" s="10" t="str">
        <f t="shared" si="6"/>
        <v>T</v>
      </c>
      <c r="BQ6" s="10" t="str">
        <f t="shared" si="6"/>
        <v>F</v>
      </c>
      <c r="BR6" s="10" t="str">
        <f t="shared" si="6"/>
        <v>S</v>
      </c>
      <c r="BS6" s="10" t="str">
        <f t="shared" si="6"/>
        <v>S</v>
      </c>
      <c r="BT6" s="10" t="str">
        <f t="shared" si="6"/>
        <v>M</v>
      </c>
      <c r="BU6" s="10" t="str">
        <f t="shared" ref="BU6:CZ6" si="7">LEFT(TEXT(BU5,"ddd"),1)</f>
        <v>T</v>
      </c>
      <c r="BV6" s="10" t="str">
        <f t="shared" si="7"/>
        <v>W</v>
      </c>
      <c r="BW6" s="10" t="str">
        <f t="shared" si="7"/>
        <v>T</v>
      </c>
      <c r="BX6" s="10" t="str">
        <f t="shared" si="7"/>
        <v>F</v>
      </c>
      <c r="BY6" s="10" t="str">
        <f t="shared" si="7"/>
        <v>S</v>
      </c>
      <c r="BZ6" s="10" t="str">
        <f t="shared" si="7"/>
        <v>S</v>
      </c>
      <c r="CA6" s="10" t="str">
        <f t="shared" si="7"/>
        <v>M</v>
      </c>
      <c r="CB6" s="10" t="str">
        <f t="shared" si="7"/>
        <v>T</v>
      </c>
      <c r="CC6" s="10" t="str">
        <f t="shared" si="7"/>
        <v>W</v>
      </c>
      <c r="CD6" s="10" t="str">
        <f t="shared" si="7"/>
        <v>T</v>
      </c>
      <c r="CE6" s="10" t="str">
        <f t="shared" si="7"/>
        <v>F</v>
      </c>
      <c r="CF6" s="10" t="str">
        <f t="shared" si="7"/>
        <v>S</v>
      </c>
      <c r="CG6" s="10" t="str">
        <f t="shared" si="7"/>
        <v>S</v>
      </c>
      <c r="CH6" s="10" t="str">
        <f t="shared" si="7"/>
        <v>M</v>
      </c>
      <c r="CI6" s="10" t="str">
        <f t="shared" si="7"/>
        <v>T</v>
      </c>
      <c r="CJ6" s="10" t="str">
        <f t="shared" si="7"/>
        <v>W</v>
      </c>
      <c r="CK6" s="10" t="str">
        <f t="shared" si="7"/>
        <v>T</v>
      </c>
      <c r="CL6" s="10" t="str">
        <f t="shared" si="7"/>
        <v>F</v>
      </c>
      <c r="CM6" s="10" t="str">
        <f t="shared" si="7"/>
        <v>S</v>
      </c>
      <c r="CN6" s="10" t="str">
        <f t="shared" si="7"/>
        <v>S</v>
      </c>
      <c r="CO6" s="10" t="str">
        <f t="shared" si="7"/>
        <v>M</v>
      </c>
      <c r="CP6" s="10" t="str">
        <f t="shared" si="7"/>
        <v>T</v>
      </c>
      <c r="CQ6" s="10" t="str">
        <f t="shared" si="7"/>
        <v>W</v>
      </c>
      <c r="CR6" s="10" t="str">
        <f t="shared" si="7"/>
        <v>T</v>
      </c>
      <c r="CS6" s="10" t="str">
        <f t="shared" si="7"/>
        <v>F</v>
      </c>
      <c r="CT6" s="10" t="str">
        <f t="shared" si="7"/>
        <v>S</v>
      </c>
      <c r="CU6" s="10" t="str">
        <f t="shared" si="7"/>
        <v>S</v>
      </c>
      <c r="CV6" s="10" t="str">
        <f t="shared" si="7"/>
        <v>M</v>
      </c>
      <c r="CW6" s="10" t="str">
        <f t="shared" si="7"/>
        <v>T</v>
      </c>
      <c r="CX6" s="10" t="str">
        <f t="shared" si="7"/>
        <v>W</v>
      </c>
      <c r="CY6" s="10" t="str">
        <f t="shared" si="7"/>
        <v>T</v>
      </c>
      <c r="CZ6" s="10" t="str">
        <f t="shared" si="7"/>
        <v>F</v>
      </c>
      <c r="DA6" s="10" t="str">
        <f t="shared" ref="DA6:EF6" si="8">LEFT(TEXT(DA5,"ddd"),1)</f>
        <v>S</v>
      </c>
      <c r="DB6" s="10" t="str">
        <f t="shared" si="8"/>
        <v>S</v>
      </c>
      <c r="DC6" s="10" t="str">
        <f t="shared" si="8"/>
        <v>M</v>
      </c>
      <c r="DD6" s="10" t="str">
        <f t="shared" si="8"/>
        <v>T</v>
      </c>
      <c r="DE6" s="10" t="str">
        <f t="shared" si="8"/>
        <v>W</v>
      </c>
      <c r="DF6" s="10" t="str">
        <f t="shared" si="8"/>
        <v>T</v>
      </c>
      <c r="DG6" s="10" t="str">
        <f t="shared" si="8"/>
        <v>F</v>
      </c>
      <c r="DH6" s="10" t="str">
        <f t="shared" si="8"/>
        <v>S</v>
      </c>
      <c r="DI6" s="10" t="str">
        <f t="shared" si="8"/>
        <v>S</v>
      </c>
      <c r="DJ6" s="10" t="str">
        <f t="shared" si="8"/>
        <v>M</v>
      </c>
      <c r="DK6" s="10" t="str">
        <f t="shared" si="8"/>
        <v>T</v>
      </c>
      <c r="DL6" s="10" t="str">
        <f t="shared" si="8"/>
        <v>W</v>
      </c>
      <c r="DM6" s="10" t="str">
        <f t="shared" si="8"/>
        <v>T</v>
      </c>
      <c r="DN6" s="10" t="str">
        <f t="shared" si="8"/>
        <v>F</v>
      </c>
      <c r="DO6" s="10" t="str">
        <f t="shared" si="8"/>
        <v>S</v>
      </c>
      <c r="DP6" s="10" t="str">
        <f t="shared" si="8"/>
        <v>S</v>
      </c>
      <c r="DQ6" s="10" t="str">
        <f t="shared" si="8"/>
        <v>M</v>
      </c>
      <c r="DR6" s="10" t="str">
        <f t="shared" si="8"/>
        <v>T</v>
      </c>
      <c r="DS6" s="10" t="str">
        <f t="shared" si="8"/>
        <v>W</v>
      </c>
      <c r="DT6" s="10" t="str">
        <f t="shared" si="8"/>
        <v>T</v>
      </c>
      <c r="DU6" s="10" t="str">
        <f t="shared" si="8"/>
        <v>F</v>
      </c>
      <c r="DV6" s="10" t="str">
        <f t="shared" si="8"/>
        <v>S</v>
      </c>
      <c r="DW6" s="10" t="str">
        <f t="shared" si="8"/>
        <v>S</v>
      </c>
      <c r="DX6" s="10" t="str">
        <f t="shared" si="8"/>
        <v>M</v>
      </c>
      <c r="DY6" s="10" t="str">
        <f t="shared" si="8"/>
        <v>T</v>
      </c>
      <c r="DZ6" s="10" t="str">
        <f t="shared" si="8"/>
        <v>W</v>
      </c>
      <c r="EA6" s="10" t="str">
        <f t="shared" si="8"/>
        <v>T</v>
      </c>
      <c r="EB6" s="10" t="str">
        <f t="shared" si="8"/>
        <v>F</v>
      </c>
      <c r="EC6" s="10" t="str">
        <f t="shared" si="8"/>
        <v>S</v>
      </c>
      <c r="ED6" s="10" t="str">
        <f t="shared" si="8"/>
        <v>S</v>
      </c>
      <c r="EE6" s="10" t="str">
        <f t="shared" si="8"/>
        <v>M</v>
      </c>
      <c r="EF6" s="10" t="str">
        <f t="shared" si="8"/>
        <v>T</v>
      </c>
      <c r="EG6" s="10" t="str">
        <f t="shared" ref="EG6:FL6" si="9">LEFT(TEXT(EG5,"ddd"),1)</f>
        <v>W</v>
      </c>
      <c r="EH6" s="10" t="str">
        <f t="shared" si="9"/>
        <v>T</v>
      </c>
      <c r="EI6" s="10" t="str">
        <f t="shared" si="9"/>
        <v>F</v>
      </c>
      <c r="EJ6" s="10" t="str">
        <f t="shared" si="9"/>
        <v>S</v>
      </c>
      <c r="EK6" s="10" t="str">
        <f t="shared" si="9"/>
        <v>S</v>
      </c>
      <c r="EL6" s="10" t="str">
        <f t="shared" si="9"/>
        <v>M</v>
      </c>
      <c r="EM6" s="10" t="str">
        <f t="shared" si="9"/>
        <v>T</v>
      </c>
      <c r="EN6" s="10" t="str">
        <f t="shared" si="9"/>
        <v>W</v>
      </c>
      <c r="EO6" s="10" t="str">
        <f t="shared" si="9"/>
        <v>T</v>
      </c>
      <c r="EP6" s="10" t="str">
        <f t="shared" si="9"/>
        <v>F</v>
      </c>
      <c r="EQ6" s="10" t="str">
        <f t="shared" si="9"/>
        <v>S</v>
      </c>
      <c r="ER6" s="10" t="str">
        <f t="shared" si="9"/>
        <v>S</v>
      </c>
    </row>
    <row r="7" spans="1:148" s="2" customFormat="1" ht="21.6" customHeight="1" thickBot="1" x14ac:dyDescent="0.35">
      <c r="A7" s="11"/>
      <c r="B7" s="49"/>
      <c r="C7" s="67"/>
      <c r="D7" s="12"/>
      <c r="E7" s="68"/>
      <c r="F7" s="69"/>
      <c r="G7" s="15"/>
      <c r="H7" s="15" t="str">
        <f>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row>
    <row r="8" spans="1:148" s="2" customFormat="1" ht="21.6" customHeight="1" thickBot="1" x14ac:dyDescent="0.35">
      <c r="A8" s="11"/>
      <c r="B8" s="50" t="s">
        <v>13</v>
      </c>
      <c r="C8" s="70"/>
      <c r="D8" s="16"/>
      <c r="E8" s="71"/>
      <c r="F8" s="72"/>
      <c r="G8" s="15"/>
      <c r="H8" s="15" t="str">
        <f>IF(OR(ISBLANK(task_start),ISBLANK(task_end)),"",task_end-task_start+1)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row>
    <row r="9" spans="1:148" s="2" customFormat="1" ht="21.6" customHeight="1" thickBot="1" x14ac:dyDescent="0.35">
      <c r="A9" s="11"/>
      <c r="B9" s="51" t="s">
        <v>14</v>
      </c>
      <c r="C9" s="73" t="s">
        <v>15</v>
      </c>
      <c r="D9" s="17">
        <v>1</v>
      </c>
      <c r="E9" s="74">
        <v>46237</v>
      </c>
      <c r="F9" s="75">
        <v>46244</v>
      </c>
      <c r="G9" s="15"/>
      <c r="H9" s="15">
        <f>IF(OR(ISBLANK(task_start),ISBLANK(task_end)),"",task_end-task_start+1)</f>
        <v>8</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row>
    <row r="10" spans="1:148" s="2" customFormat="1" ht="21.6" customHeight="1" thickBot="1" x14ac:dyDescent="0.35">
      <c r="A10" s="11"/>
      <c r="B10" s="51" t="s">
        <v>16</v>
      </c>
      <c r="C10" s="73" t="s">
        <v>17</v>
      </c>
      <c r="D10" s="17">
        <v>1</v>
      </c>
      <c r="E10" s="74">
        <v>46245</v>
      </c>
      <c r="F10" s="75">
        <v>46248</v>
      </c>
      <c r="G10" s="15"/>
      <c r="H10" s="15"/>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row>
    <row r="11" spans="1:148" s="2" customFormat="1" ht="21.6" customHeight="1" thickBot="1" x14ac:dyDescent="0.35">
      <c r="A11" s="11"/>
      <c r="B11" s="51" t="s">
        <v>18</v>
      </c>
      <c r="C11" s="73" t="s">
        <v>19</v>
      </c>
      <c r="D11" s="17">
        <v>1</v>
      </c>
      <c r="E11" s="74">
        <v>46249</v>
      </c>
      <c r="F11" s="75">
        <v>46251</v>
      </c>
      <c r="G11" s="15"/>
      <c r="H11" s="15">
        <f>IF(OR(ISBLANK(task_start),ISBLANK(task_end)),"",task_end-task_start+1)</f>
        <v>3</v>
      </c>
      <c r="I11" s="30"/>
      <c r="J11" s="30"/>
      <c r="K11" s="30"/>
      <c r="L11" s="30"/>
      <c r="M11" s="30"/>
      <c r="N11" s="30"/>
      <c r="O11" s="30"/>
      <c r="P11" s="30"/>
      <c r="Q11" s="30"/>
      <c r="R11" s="30"/>
      <c r="S11" s="30"/>
      <c r="T11" s="30"/>
      <c r="U11" s="31"/>
      <c r="V11" s="31"/>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row>
    <row r="12" spans="1:148" s="2" customFormat="1" ht="21.6" customHeight="1" thickBot="1" x14ac:dyDescent="0.35">
      <c r="A12" s="11"/>
      <c r="B12" s="51" t="s">
        <v>20</v>
      </c>
      <c r="C12" s="73" t="s">
        <v>17</v>
      </c>
      <c r="D12" s="17">
        <v>1</v>
      </c>
      <c r="E12" s="74">
        <v>46251</v>
      </c>
      <c r="F12" s="75">
        <v>46258</v>
      </c>
      <c r="G12" s="15"/>
      <c r="H12" s="15">
        <f>IF(OR(ISBLANK(task_start),ISBLANK(task_end)),"",task_end-task_start+1)</f>
        <v>8</v>
      </c>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row>
    <row r="13" spans="1:148" s="2" customFormat="1" ht="21.6" customHeight="1" thickBot="1" x14ac:dyDescent="0.35">
      <c r="A13" s="11"/>
      <c r="B13" s="51" t="s">
        <v>21</v>
      </c>
      <c r="C13" s="73" t="s">
        <v>22</v>
      </c>
      <c r="D13" s="17">
        <v>1</v>
      </c>
      <c r="E13" s="74">
        <v>46251</v>
      </c>
      <c r="F13" s="75">
        <v>46258</v>
      </c>
      <c r="G13" s="15"/>
      <c r="H13" s="15">
        <f>IF(OR(ISBLANK(task_start),ISBLANK(task_end)),"",task_end-task_start+1)</f>
        <v>8</v>
      </c>
      <c r="I13" s="30"/>
      <c r="J13" s="30"/>
      <c r="K13" s="30"/>
      <c r="L13" s="30"/>
      <c r="M13" s="30"/>
      <c r="N13" s="30"/>
      <c r="O13" s="30"/>
      <c r="P13" s="30"/>
      <c r="Q13" s="30"/>
      <c r="R13" s="30"/>
      <c r="S13" s="30"/>
      <c r="T13" s="30"/>
      <c r="U13" s="30"/>
      <c r="V13" s="30"/>
      <c r="W13" s="30"/>
      <c r="X13" s="30"/>
      <c r="Y13" s="31"/>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row>
    <row r="14" spans="1:148" s="2" customFormat="1" ht="21.6" customHeight="1" thickBot="1" x14ac:dyDescent="0.35">
      <c r="A14" s="11"/>
      <c r="B14" s="51" t="s">
        <v>23</v>
      </c>
      <c r="C14" s="73" t="s">
        <v>24</v>
      </c>
      <c r="D14" s="17">
        <v>1</v>
      </c>
      <c r="E14" s="74">
        <v>46251</v>
      </c>
      <c r="F14" s="75">
        <v>46258</v>
      </c>
      <c r="G14" s="15"/>
      <c r="H14" s="15"/>
      <c r="I14" s="30"/>
      <c r="J14" s="30"/>
      <c r="K14" s="30"/>
      <c r="L14" s="30"/>
      <c r="M14" s="30"/>
      <c r="N14" s="30"/>
      <c r="O14" s="30"/>
      <c r="P14" s="30"/>
      <c r="Q14" s="30"/>
      <c r="R14" s="30"/>
      <c r="S14" s="30"/>
      <c r="T14" s="30"/>
      <c r="U14" s="30"/>
      <c r="V14" s="30"/>
      <c r="W14" s="30"/>
      <c r="X14" s="30"/>
      <c r="Y14" s="31"/>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row>
    <row r="15" spans="1:148" s="2" customFormat="1" ht="21.6" customHeight="1" thickBot="1" x14ac:dyDescent="0.35">
      <c r="A15" s="11"/>
      <c r="B15" s="51" t="s">
        <v>25</v>
      </c>
      <c r="C15" s="73" t="s">
        <v>19</v>
      </c>
      <c r="D15" s="17">
        <v>1</v>
      </c>
      <c r="E15" s="74">
        <v>46272</v>
      </c>
      <c r="F15" s="75">
        <v>46279</v>
      </c>
      <c r="G15" s="15"/>
      <c r="H15" s="15"/>
      <c r="I15" s="30"/>
      <c r="J15" s="30"/>
      <c r="K15" s="30"/>
      <c r="L15" s="30"/>
      <c r="M15" s="30"/>
      <c r="N15" s="30"/>
      <c r="O15" s="30"/>
      <c r="P15" s="30"/>
      <c r="Q15" s="30"/>
      <c r="R15" s="30"/>
      <c r="S15" s="30"/>
      <c r="T15" s="30"/>
      <c r="U15" s="30"/>
      <c r="V15" s="30"/>
      <c r="W15" s="30"/>
      <c r="X15" s="30"/>
      <c r="Y15" s="31"/>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row>
    <row r="16" spans="1:148" s="2" customFormat="1" ht="21.6" customHeight="1" thickBot="1" x14ac:dyDescent="0.35">
      <c r="A16" s="11"/>
      <c r="B16" s="51" t="s">
        <v>26</v>
      </c>
      <c r="C16" s="73" t="s">
        <v>24</v>
      </c>
      <c r="D16" s="17">
        <v>1</v>
      </c>
      <c r="E16" s="74">
        <v>46272</v>
      </c>
      <c r="F16" s="75">
        <v>46279</v>
      </c>
      <c r="G16" s="15"/>
      <c r="H16" s="15">
        <f t="shared" ref="H16:H44" si="10">IF(OR(ISBLANK(task_start),ISBLANK(task_end)),"",task_end-task_start+1)</f>
        <v>8</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row>
    <row r="17" spans="1:148" s="2" customFormat="1" ht="21.6" customHeight="1" thickBot="1" x14ac:dyDescent="0.35">
      <c r="A17" s="11"/>
      <c r="B17" s="52" t="s">
        <v>27</v>
      </c>
      <c r="C17" s="76"/>
      <c r="D17" s="18"/>
      <c r="E17" s="77"/>
      <c r="F17" s="78"/>
      <c r="G17" s="15"/>
      <c r="H17" s="15" t="str">
        <f t="shared" si="10"/>
        <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row>
    <row r="18" spans="1:148" s="2" customFormat="1" ht="21.6" customHeight="1" thickBot="1" x14ac:dyDescent="0.35">
      <c r="A18" s="11"/>
      <c r="B18" s="53" t="s">
        <v>28</v>
      </c>
      <c r="C18" s="79" t="s">
        <v>24</v>
      </c>
      <c r="D18" s="19">
        <v>1</v>
      </c>
      <c r="E18" s="80">
        <v>46272</v>
      </c>
      <c r="F18" s="81">
        <v>46275</v>
      </c>
      <c r="G18" s="15"/>
      <c r="H18" s="15">
        <f t="shared" si="10"/>
        <v>4</v>
      </c>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row>
    <row r="19" spans="1:148" s="2" customFormat="1" ht="21.6" customHeight="1" thickBot="1" x14ac:dyDescent="0.35">
      <c r="A19" s="11"/>
      <c r="B19" s="53" t="s">
        <v>29</v>
      </c>
      <c r="C19" s="79" t="s">
        <v>19</v>
      </c>
      <c r="D19" s="19">
        <v>1</v>
      </c>
      <c r="E19" s="80">
        <v>46276</v>
      </c>
      <c r="F19" s="81">
        <v>46279</v>
      </c>
      <c r="G19" s="15"/>
      <c r="H19" s="15">
        <f t="shared" si="10"/>
        <v>4</v>
      </c>
      <c r="I19" s="30"/>
      <c r="J19" s="30"/>
      <c r="K19" s="30"/>
      <c r="L19" s="30"/>
      <c r="M19" s="30"/>
      <c r="N19" s="30"/>
      <c r="O19" s="30"/>
      <c r="P19" s="30"/>
      <c r="Q19" s="30"/>
      <c r="R19" s="30"/>
      <c r="S19" s="30"/>
      <c r="T19" s="30"/>
      <c r="U19" s="31"/>
      <c r="V19" s="31"/>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row>
    <row r="20" spans="1:148" s="2" customFormat="1" ht="21.6" customHeight="1" thickBot="1" x14ac:dyDescent="0.35">
      <c r="A20" s="11"/>
      <c r="B20" s="53" t="s">
        <v>30</v>
      </c>
      <c r="C20" s="79" t="s">
        <v>15</v>
      </c>
      <c r="D20" s="19">
        <v>1</v>
      </c>
      <c r="E20" s="80">
        <v>46272</v>
      </c>
      <c r="F20" s="81">
        <v>46279</v>
      </c>
      <c r="G20" s="15"/>
      <c r="H20" s="15">
        <f t="shared" si="10"/>
        <v>8</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row>
    <row r="21" spans="1:148" s="2" customFormat="1" ht="21.6" customHeight="1" thickBot="1" x14ac:dyDescent="0.35">
      <c r="A21" s="11"/>
      <c r="B21" s="53" t="s">
        <v>31</v>
      </c>
      <c r="C21" s="79" t="s">
        <v>32</v>
      </c>
      <c r="D21" s="19">
        <v>1</v>
      </c>
      <c r="E21" s="80">
        <v>46277</v>
      </c>
      <c r="F21" s="81">
        <v>46278</v>
      </c>
      <c r="G21" s="15"/>
      <c r="H21" s="15">
        <f t="shared" si="10"/>
        <v>2</v>
      </c>
      <c r="I21" s="30"/>
      <c r="J21" s="30"/>
      <c r="K21" s="30"/>
      <c r="L21" s="30"/>
      <c r="M21" s="30"/>
      <c r="N21" s="30"/>
      <c r="O21" s="30"/>
      <c r="P21" s="30"/>
      <c r="Q21" s="30"/>
      <c r="R21" s="30"/>
      <c r="S21" s="30"/>
      <c r="T21" s="30"/>
      <c r="U21" s="30"/>
      <c r="V21" s="30"/>
      <c r="W21" s="30"/>
      <c r="X21" s="30"/>
      <c r="Y21" s="31"/>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row>
    <row r="22" spans="1:148" s="2" customFormat="1" ht="21.6" customHeight="1" thickBot="1" x14ac:dyDescent="0.35">
      <c r="A22" s="11"/>
      <c r="B22" s="53" t="s">
        <v>33</v>
      </c>
      <c r="C22" s="79" t="s">
        <v>32</v>
      </c>
      <c r="D22" s="19">
        <v>1</v>
      </c>
      <c r="E22" s="80">
        <v>46278</v>
      </c>
      <c r="F22" s="81">
        <v>46278</v>
      </c>
      <c r="G22" s="15"/>
      <c r="H22" s="15">
        <f t="shared" si="10"/>
        <v>1</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row>
    <row r="23" spans="1:148" s="2" customFormat="1" ht="21.6" customHeight="1" thickBot="1" x14ac:dyDescent="0.35">
      <c r="A23" s="11"/>
      <c r="B23" s="54" t="s">
        <v>34</v>
      </c>
      <c r="C23" s="82"/>
      <c r="D23" s="20"/>
      <c r="E23" s="83"/>
      <c r="F23" s="84"/>
      <c r="G23" s="15"/>
      <c r="H23" s="15" t="str">
        <f t="shared" si="10"/>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row>
    <row r="24" spans="1:148" s="2" customFormat="1" ht="21.6" customHeight="1" thickBot="1" x14ac:dyDescent="0.35">
      <c r="A24" s="11"/>
      <c r="B24" s="55" t="s">
        <v>35</v>
      </c>
      <c r="C24" s="85" t="s">
        <v>24</v>
      </c>
      <c r="D24" s="21">
        <v>0</v>
      </c>
      <c r="E24" s="86">
        <v>46306</v>
      </c>
      <c r="F24" s="87">
        <v>46311</v>
      </c>
      <c r="G24" s="15"/>
      <c r="H24" s="15">
        <f t="shared" si="10"/>
        <v>6</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row>
    <row r="25" spans="1:148" s="2" customFormat="1" ht="21.6" customHeight="1" thickBot="1" x14ac:dyDescent="0.35">
      <c r="A25" s="11"/>
      <c r="B25" s="55" t="s">
        <v>36</v>
      </c>
      <c r="C25" s="85" t="s">
        <v>19</v>
      </c>
      <c r="D25" s="21">
        <v>0</v>
      </c>
      <c r="E25" s="86">
        <v>46306</v>
      </c>
      <c r="F25" s="87">
        <v>46311</v>
      </c>
      <c r="G25" s="15"/>
      <c r="H25" s="15">
        <f t="shared" si="10"/>
        <v>6</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row>
    <row r="26" spans="1:148" s="2" customFormat="1" ht="21.6" customHeight="1" thickBot="1" x14ac:dyDescent="0.35">
      <c r="A26" s="11"/>
      <c r="B26" s="55" t="s">
        <v>37</v>
      </c>
      <c r="C26" s="85" t="s">
        <v>24</v>
      </c>
      <c r="D26" s="21">
        <v>0</v>
      </c>
      <c r="E26" s="86">
        <v>46312</v>
      </c>
      <c r="F26" s="87">
        <v>46316</v>
      </c>
      <c r="G26" s="15"/>
      <c r="H26" s="15">
        <f t="shared" si="10"/>
        <v>5</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row>
    <row r="27" spans="1:148" s="2" customFormat="1" ht="21.6" customHeight="1" thickBot="1" x14ac:dyDescent="0.35">
      <c r="A27" s="11"/>
      <c r="B27" s="55" t="s">
        <v>38</v>
      </c>
      <c r="C27" s="85" t="s">
        <v>19</v>
      </c>
      <c r="D27" s="21">
        <v>0</v>
      </c>
      <c r="E27" s="86">
        <v>46312</v>
      </c>
      <c r="F27" s="87">
        <v>46319</v>
      </c>
      <c r="G27" s="15"/>
      <c r="H27" s="15">
        <f t="shared" si="10"/>
        <v>8</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row>
    <row r="28" spans="1:148" s="2" customFormat="1" ht="21.6" customHeight="1" thickBot="1" x14ac:dyDescent="0.35">
      <c r="A28" s="11"/>
      <c r="B28" s="55" t="s">
        <v>39</v>
      </c>
      <c r="C28" s="85" t="s">
        <v>32</v>
      </c>
      <c r="D28" s="21">
        <v>0</v>
      </c>
      <c r="E28" s="86">
        <v>46320</v>
      </c>
      <c r="F28" s="87">
        <v>46322</v>
      </c>
      <c r="G28" s="15"/>
      <c r="H28" s="15">
        <f t="shared" si="10"/>
        <v>3</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row>
    <row r="29" spans="1:148" s="2" customFormat="1" ht="21.6" customHeight="1" thickBot="1" x14ac:dyDescent="0.35">
      <c r="A29" s="11"/>
      <c r="B29" s="56" t="s">
        <v>40</v>
      </c>
      <c r="C29" s="88"/>
      <c r="D29" s="22"/>
      <c r="E29" s="89"/>
      <c r="F29" s="90"/>
      <c r="G29" s="15"/>
      <c r="H29" s="15" t="str">
        <f t="shared" si="10"/>
        <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row>
    <row r="30" spans="1:148" s="2" customFormat="1" ht="21.6" customHeight="1" thickBot="1" x14ac:dyDescent="0.35">
      <c r="A30" s="11"/>
      <c r="B30" s="57" t="s">
        <v>41</v>
      </c>
      <c r="C30" s="91" t="s">
        <v>19</v>
      </c>
      <c r="D30" s="23">
        <v>0</v>
      </c>
      <c r="E30" s="92">
        <v>46323</v>
      </c>
      <c r="F30" s="93">
        <v>46328</v>
      </c>
      <c r="G30" s="15"/>
      <c r="H30" s="15">
        <f t="shared" si="10"/>
        <v>6</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row>
    <row r="31" spans="1:148" s="2" customFormat="1" ht="21.6" customHeight="1" thickBot="1" x14ac:dyDescent="0.35">
      <c r="A31" s="11"/>
      <c r="B31" s="57" t="s">
        <v>42</v>
      </c>
      <c r="C31" s="91" t="s">
        <v>24</v>
      </c>
      <c r="D31" s="23">
        <v>0</v>
      </c>
      <c r="E31" s="92">
        <v>46323</v>
      </c>
      <c r="F31" s="93">
        <v>46330</v>
      </c>
      <c r="G31" s="15"/>
      <c r="H31" s="15">
        <f t="shared" si="10"/>
        <v>8</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30"/>
      <c r="EO31" s="30"/>
      <c r="EP31" s="30"/>
      <c r="EQ31" s="30"/>
      <c r="ER31" s="30"/>
    </row>
    <row r="32" spans="1:148" s="2" customFormat="1" ht="21.6" customHeight="1" thickBot="1" x14ac:dyDescent="0.35">
      <c r="A32" s="11"/>
      <c r="B32" s="57" t="s">
        <v>43</v>
      </c>
      <c r="C32" s="91" t="s">
        <v>24</v>
      </c>
      <c r="D32" s="23">
        <v>0</v>
      </c>
      <c r="E32" s="92">
        <v>46331</v>
      </c>
      <c r="F32" s="93">
        <v>46334</v>
      </c>
      <c r="G32" s="15"/>
      <c r="H32" s="15">
        <f t="shared" si="10"/>
        <v>4</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30"/>
      <c r="EO32" s="30"/>
      <c r="EP32" s="30"/>
      <c r="EQ32" s="30"/>
      <c r="ER32" s="30"/>
    </row>
    <row r="33" spans="1:148" s="2" customFormat="1" ht="21.6" customHeight="1" thickBot="1" x14ac:dyDescent="0.35">
      <c r="A33" s="11"/>
      <c r="B33" s="57" t="s">
        <v>44</v>
      </c>
      <c r="C33" s="91" t="s">
        <v>19</v>
      </c>
      <c r="D33" s="23">
        <v>0</v>
      </c>
      <c r="E33" s="92">
        <v>46331</v>
      </c>
      <c r="F33" s="93">
        <v>46337</v>
      </c>
      <c r="G33" s="15"/>
      <c r="H33" s="15">
        <f t="shared" si="10"/>
        <v>7</v>
      </c>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30"/>
      <c r="EO33" s="30"/>
      <c r="EP33" s="30"/>
      <c r="EQ33" s="30"/>
      <c r="ER33" s="30"/>
    </row>
    <row r="34" spans="1:148" s="2" customFormat="1" ht="21.6" customHeight="1" thickBot="1" x14ac:dyDescent="0.35">
      <c r="A34" s="11"/>
      <c r="B34" s="57" t="s">
        <v>45</v>
      </c>
      <c r="C34" s="91" t="s">
        <v>32</v>
      </c>
      <c r="D34" s="23">
        <v>0</v>
      </c>
      <c r="E34" s="92">
        <v>46338</v>
      </c>
      <c r="F34" s="93">
        <v>46340</v>
      </c>
      <c r="G34" s="15"/>
      <c r="H34" s="15">
        <f t="shared" si="10"/>
        <v>3</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row>
    <row r="35" spans="1:148" s="2" customFormat="1" ht="21.6" customHeight="1" thickBot="1" x14ac:dyDescent="0.35">
      <c r="A35" s="11"/>
      <c r="B35" s="58" t="s">
        <v>46</v>
      </c>
      <c r="C35" s="94"/>
      <c r="D35" s="24"/>
      <c r="E35" s="95"/>
      <c r="F35" s="96"/>
      <c r="G35" s="15"/>
      <c r="H35" s="15" t="str">
        <f t="shared" si="10"/>
        <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30"/>
      <c r="EO35" s="30"/>
      <c r="EP35" s="30"/>
      <c r="EQ35" s="30"/>
      <c r="ER35" s="30"/>
    </row>
    <row r="36" spans="1:148" s="2" customFormat="1" ht="21.6" customHeight="1" thickBot="1" x14ac:dyDescent="0.35">
      <c r="A36" s="11"/>
      <c r="B36" s="59" t="s">
        <v>47</v>
      </c>
      <c r="C36" s="97" t="s">
        <v>24</v>
      </c>
      <c r="D36" s="25">
        <v>0</v>
      </c>
      <c r="E36" s="98">
        <v>46341</v>
      </c>
      <c r="F36" s="99">
        <v>46346</v>
      </c>
      <c r="G36" s="15"/>
      <c r="H36" s="15">
        <f t="shared" si="10"/>
        <v>6</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row>
    <row r="37" spans="1:148" s="2" customFormat="1" ht="21.6" customHeight="1" thickBot="1" x14ac:dyDescent="0.35">
      <c r="A37" s="11"/>
      <c r="B37" s="59" t="s">
        <v>48</v>
      </c>
      <c r="C37" s="97" t="s">
        <v>19</v>
      </c>
      <c r="D37" s="25">
        <v>0</v>
      </c>
      <c r="E37" s="98">
        <v>46347</v>
      </c>
      <c r="F37" s="99">
        <v>46352</v>
      </c>
      <c r="G37" s="15"/>
      <c r="H37" s="15">
        <f t="shared" si="10"/>
        <v>6</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30"/>
      <c r="EO37" s="30"/>
      <c r="EP37" s="30"/>
      <c r="EQ37" s="30"/>
      <c r="ER37" s="30"/>
    </row>
    <row r="38" spans="1:148" s="2" customFormat="1" ht="21.6" customHeight="1" thickBot="1" x14ac:dyDescent="0.35">
      <c r="A38" s="11"/>
      <c r="B38" s="59" t="s">
        <v>49</v>
      </c>
      <c r="C38" s="97" t="s">
        <v>32</v>
      </c>
      <c r="D38" s="25">
        <v>0</v>
      </c>
      <c r="E38" s="98">
        <v>46353</v>
      </c>
      <c r="F38" s="99">
        <v>46356</v>
      </c>
      <c r="G38" s="15"/>
      <c r="H38" s="15">
        <f t="shared" si="10"/>
        <v>4</v>
      </c>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30"/>
      <c r="EO38" s="30"/>
      <c r="EP38" s="30"/>
      <c r="EQ38" s="30"/>
      <c r="ER38" s="30"/>
    </row>
    <row r="39" spans="1:148" s="2" customFormat="1" ht="21.6" customHeight="1" thickBot="1" x14ac:dyDescent="0.35">
      <c r="A39" s="11"/>
      <c r="B39" s="59" t="s">
        <v>50</v>
      </c>
      <c r="C39" s="97" t="s">
        <v>19</v>
      </c>
      <c r="D39" s="25">
        <v>0</v>
      </c>
      <c r="E39" s="98">
        <v>46357</v>
      </c>
      <c r="F39" s="99">
        <v>46360</v>
      </c>
      <c r="G39" s="15"/>
      <c r="H39" s="15">
        <f t="shared" si="10"/>
        <v>4</v>
      </c>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30"/>
      <c r="EO39" s="30"/>
      <c r="EP39" s="30"/>
      <c r="EQ39" s="30"/>
      <c r="ER39" s="30"/>
    </row>
    <row r="40" spans="1:148" s="2" customFormat="1" ht="21.6" customHeight="1" thickBot="1" x14ac:dyDescent="0.35">
      <c r="A40" s="11"/>
      <c r="B40" s="59" t="s">
        <v>51</v>
      </c>
      <c r="C40" s="97" t="s">
        <v>32</v>
      </c>
      <c r="D40" s="25">
        <v>0</v>
      </c>
      <c r="E40" s="98">
        <v>46361</v>
      </c>
      <c r="F40" s="99">
        <v>46363</v>
      </c>
      <c r="G40" s="15"/>
      <c r="H40" s="15">
        <f t="shared" si="10"/>
        <v>3</v>
      </c>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30"/>
      <c r="EO40" s="30"/>
      <c r="EP40" s="30"/>
      <c r="EQ40" s="30"/>
      <c r="ER40" s="30"/>
    </row>
    <row r="41" spans="1:148" s="2" customFormat="1" ht="21.6" customHeight="1" thickBot="1" x14ac:dyDescent="0.35">
      <c r="A41" s="11"/>
      <c r="B41" s="49"/>
      <c r="C41" s="67"/>
      <c r="D41" s="12"/>
      <c r="E41" s="13"/>
      <c r="F41" s="14"/>
      <c r="G41" s="15"/>
      <c r="H41" s="15" t="str">
        <f t="shared" si="10"/>
        <v/>
      </c>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30"/>
      <c r="EO41" s="30"/>
      <c r="EP41" s="30"/>
      <c r="EQ41" s="30"/>
      <c r="ER41" s="30"/>
    </row>
    <row r="42" spans="1:148" s="2" customFormat="1" ht="21.6" customHeight="1" thickBot="1" x14ac:dyDescent="0.35">
      <c r="A42" s="11"/>
      <c r="B42" s="49"/>
      <c r="C42" s="67"/>
      <c r="D42" s="12"/>
      <c r="E42" s="13"/>
      <c r="F42" s="14"/>
      <c r="G42" s="15"/>
      <c r="H42" s="15" t="str">
        <f t="shared" si="10"/>
        <v/>
      </c>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30"/>
      <c r="EO42" s="30"/>
      <c r="EP42" s="30"/>
      <c r="EQ42" s="30"/>
      <c r="ER42" s="30"/>
    </row>
    <row r="43" spans="1:148" s="2" customFormat="1" ht="21.6" customHeight="1" thickBot="1" x14ac:dyDescent="0.35">
      <c r="A43" s="11"/>
      <c r="B43" s="49"/>
      <c r="C43" s="67"/>
      <c r="D43" s="12"/>
      <c r="E43" s="13"/>
      <c r="F43" s="14"/>
      <c r="G43" s="15"/>
      <c r="H43" s="15" t="str">
        <f t="shared" si="10"/>
        <v/>
      </c>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30"/>
      <c r="EO43" s="30"/>
      <c r="EP43" s="30"/>
      <c r="EQ43" s="30"/>
      <c r="ER43" s="30"/>
    </row>
    <row r="44" spans="1:148" s="2" customFormat="1" ht="21.6" customHeight="1" thickBot="1" x14ac:dyDescent="0.35">
      <c r="A44" s="11"/>
      <c r="B44" s="60" t="s">
        <v>52</v>
      </c>
      <c r="C44" s="100"/>
      <c r="D44" s="26"/>
      <c r="E44" s="27"/>
      <c r="F44" s="28"/>
      <c r="G44" s="29"/>
      <c r="H44" s="29" t="str">
        <f t="shared" si="10"/>
        <v/>
      </c>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row>
    <row r="45" spans="1:148" x14ac:dyDescent="0.3">
      <c r="A45" s="4"/>
      <c r="G45" s="4"/>
    </row>
    <row r="46" spans="1:148" x14ac:dyDescent="0.3">
      <c r="B46" s="48" t="s">
        <v>53</v>
      </c>
      <c r="C46" s="48"/>
      <c r="F46" s="43">
        <v>43113</v>
      </c>
    </row>
    <row r="47" spans="1:148" x14ac:dyDescent="0.3">
      <c r="B47" s="62" t="s">
        <v>54</v>
      </c>
      <c r="C47" s="66"/>
    </row>
    <row r="48" spans="1:148" x14ac:dyDescent="0.3">
      <c r="B48" s="61" t="s">
        <v>55</v>
      </c>
    </row>
  </sheetData>
  <mergeCells count="23">
    <mergeCell ref="EL4:ER4"/>
    <mergeCell ref="AR4:AX4"/>
    <mergeCell ref="J1:AA1"/>
    <mergeCell ref="CV4:DB4"/>
    <mergeCell ref="BF4:BL4"/>
    <mergeCell ref="EE4:EK4"/>
    <mergeCell ref="DX4:ED4"/>
    <mergeCell ref="AK4:AQ4"/>
    <mergeCell ref="E2:F2"/>
    <mergeCell ref="CO4:CU4"/>
    <mergeCell ref="AY4:BE4"/>
    <mergeCell ref="CH4:CN4"/>
    <mergeCell ref="E3:F3"/>
    <mergeCell ref="DQ4:DW4"/>
    <mergeCell ref="W4:AC4"/>
    <mergeCell ref="AD4:AJ4"/>
    <mergeCell ref="P4:V4"/>
    <mergeCell ref="CA4:CG4"/>
    <mergeCell ref="DJ4:DP4"/>
    <mergeCell ref="I4:O4"/>
    <mergeCell ref="BT4:BZ4"/>
    <mergeCell ref="DC4:DI4"/>
    <mergeCell ref="BM4:BS4"/>
  </mergeCells>
  <conditionalFormatting sqref="D7:D44">
    <cfRule type="dataBar" priority="12">
      <dataBar>
        <cfvo type="num" val="0"/>
        <cfvo type="num" val="1"/>
        <color theme="0" tint="-0.249977111117893"/>
      </dataBar>
    </cfRule>
  </conditionalFormatting>
  <conditionalFormatting sqref="I5:ER44">
    <cfRule type="expression" dxfId="2" priority="27">
      <formula>AND(today&gt;=I$5,today&lt;I$5+1)</formula>
    </cfRule>
  </conditionalFormatting>
  <conditionalFormatting sqref="I7:ER44">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6" r:id="rId1" xr:uid="{00000000-0004-0000-0000-000000000000}"/>
    <hyperlink ref="B47" r:id="rId2" xr:uid="{00000000-0004-0000-0000-000001000000}"/>
  </hyperlinks>
  <pageMargins left="0.35" right="0.35" top="0.35" bottom="0.5" header="0.3" footer="0.3"/>
  <pageSetup scale="62" fitToHeight="0" orientation="landscape"/>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1" customWidth="1"/>
    <col min="2" max="2" width="87.109375" style="33" customWidth="1"/>
    <col min="3" max="3" width="9.109375" style="1" customWidth="1"/>
    <col min="4" max="16384" width="9.109375" style="1"/>
  </cols>
  <sheetData>
    <row r="1" spans="2:3" ht="46.5" customHeight="1" x14ac:dyDescent="0.3"/>
    <row r="2" spans="2:3" s="35" customFormat="1" ht="15.6" customHeight="1" x14ac:dyDescent="0.3">
      <c r="B2" s="34" t="s">
        <v>53</v>
      </c>
      <c r="C2" s="34"/>
    </row>
    <row r="3" spans="2:3" s="37" customFormat="1" ht="13.5" customHeight="1" x14ac:dyDescent="0.3">
      <c r="B3" s="36" t="s">
        <v>54</v>
      </c>
      <c r="C3" s="36"/>
    </row>
    <row r="4" spans="2:3" x14ac:dyDescent="0.3">
      <c r="B4" s="44" t="s">
        <v>55</v>
      </c>
    </row>
    <row r="6" spans="2:3" s="38" customFormat="1" ht="25.8" customHeight="1" x14ac:dyDescent="0.5">
      <c r="B6" s="40" t="s">
        <v>56</v>
      </c>
    </row>
    <row r="7" spans="2:3" ht="57.6" customHeight="1" x14ac:dyDescent="0.3">
      <c r="B7" s="41" t="s">
        <v>57</v>
      </c>
    </row>
    <row r="8" spans="2:3" ht="14.4" customHeight="1" x14ac:dyDescent="0.3">
      <c r="B8" s="39"/>
    </row>
    <row r="9" spans="2:3" s="38" customFormat="1" ht="25.8" customHeight="1" x14ac:dyDescent="0.5">
      <c r="B9" s="40" t="s">
        <v>58</v>
      </c>
    </row>
    <row r="10" spans="2:3" ht="57.6" customHeight="1" x14ac:dyDescent="0.3">
      <c r="B10" s="41" t="s">
        <v>59</v>
      </c>
    </row>
    <row r="11" spans="2:3" ht="14.4" customHeight="1" x14ac:dyDescent="0.3">
      <c r="B11" s="42" t="s">
        <v>60</v>
      </c>
    </row>
    <row r="12" spans="2:3" ht="14.4" customHeight="1" x14ac:dyDescent="0.3">
      <c r="B12" s="39"/>
    </row>
    <row r="13" spans="2:3" ht="14.4" customHeight="1" x14ac:dyDescent="0.3">
      <c r="B13" s="42" t="str">
        <f>HYPERLINK("https://vertex42.link/HowToMakeAGanttChart","► Watch How This Gantt Chart Was Created")</f>
        <v>► Watch How This Gantt Chart Was Created</v>
      </c>
    </row>
    <row r="14" spans="2:3" ht="14.4" customHeight="1" x14ac:dyDescent="0.3">
      <c r="B14" s="39"/>
    </row>
    <row r="15" spans="2:3" s="38" customFormat="1" ht="25.8" customHeight="1" x14ac:dyDescent="0.5">
      <c r="B15" s="40" t="s">
        <v>61</v>
      </c>
    </row>
    <row r="16" spans="2:3" ht="28.8" customHeight="1" x14ac:dyDescent="0.3">
      <c r="B16" s="41" t="s">
        <v>62</v>
      </c>
    </row>
    <row r="17" spans="2:2" ht="14.4" customHeight="1" x14ac:dyDescent="0.3">
      <c r="B17" s="42" t="s">
        <v>63</v>
      </c>
    </row>
    <row r="18" spans="2:2" ht="14.4" customHeight="1" x14ac:dyDescent="0.3">
      <c r="B18" s="39"/>
    </row>
    <row r="19" spans="2:2" s="38" customFormat="1" ht="25.8" customHeight="1" x14ac:dyDescent="0.5">
      <c r="B19" s="40" t="s">
        <v>64</v>
      </c>
    </row>
    <row r="20" spans="2:2" ht="57.6" customHeight="1" x14ac:dyDescent="0.3">
      <c r="B20" s="41" t="s">
        <v>65</v>
      </c>
    </row>
    <row r="21" spans="2:2" ht="14.4" customHeight="1" x14ac:dyDescent="0.3">
      <c r="B21" s="39"/>
    </row>
    <row r="22" spans="2:2" ht="72" customHeight="1" x14ac:dyDescent="0.3">
      <c r="B22" s="41" t="s">
        <v>66</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vishal singla</cp:lastModifiedBy>
  <cp:lastPrinted>2019-04-24T14:39:40Z</cp:lastPrinted>
  <dcterms:created xsi:type="dcterms:W3CDTF">2017-01-09T18:01:51Z</dcterms:created>
  <dcterms:modified xsi:type="dcterms:W3CDTF">2026-09-13T16:41:30Z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